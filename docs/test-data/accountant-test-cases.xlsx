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Summary" state="visible" r:id="rId5"/>
    <sheet sheetId="3" name="Test Cases" state="visible" r:id="rId6"/>
    <sheet sheetId="4" name="Test Data" state="visible" r:id="rId7"/>
    <sheet sheetId="5" name="Defect Log" state="visible" r:id="rId8"/>
  </sheets>
  <calcPr calcId="171027" fullCalcOnLoad="1"/>
</workbook>
</file>

<file path=xl/sharedStrings.xml><?xml version="1.0" encoding="utf-8"?>
<sst xmlns="http://schemas.openxmlformats.org/spreadsheetml/2006/main" count="5987" uniqueCount="1682">
  <si>
    <t>Accountant panel - test cases</t>
  </si>
  <si>
    <t/>
  </si>
  <si>
    <t>Scope</t>
  </si>
  <si>
    <t>Only the accountant panel: login and menu, dashboard, invoice upload, review and submit, row validation, invoice list and details, the five invoice statuses, outstanding, record payment, payment list, TDS, tasks, layout and responsive checks, security, database checks and end-to-end scenarios. Admin, supervisor, technician and client panels are not included.</t>
  </si>
  <si>
    <t>Reflects the current app</t>
  </si>
  <si>
    <t>Upload only checks the file; nothing is saved until you click Submit on Review &amp; Validate. A 'Successfully uploaded' pop-up appears after upload. Overdue is stored in the database as well as shown on screen. The menu item is TDS. The payment field is UTR No. Add Previous TDS enables only when a fully paid invoice still has TDS pending.</t>
  </si>
  <si>
    <t>How to use</t>
  </si>
  <si>
    <t>1) Filter 'Test Cases' by Module, Type or Priority.  2) Follow the steps with the data named in 'Test Data'.  3) Compare with 'Expected Result', write what you saw in 'Actual Result' and choose a Status.  4) Put failures in 'Defect Log'.  5) 'Summary' updates by itself.</t>
  </si>
  <si>
    <t>Status values</t>
  </si>
  <si>
    <t>Not Run (default), Pass, Fail, Blocked, Skipped.  Pass % = Pass / (Pass + Fail + Blocked).</t>
  </si>
  <si>
    <t>Priority</t>
  </si>
  <si>
    <t>P1 Critical (money, TDS, statuses, security, data loss) · P2 High · P3 Medium · P4 Low.</t>
  </si>
  <si>
    <t>Basis column</t>
  </si>
  <si>
    <t>Code = the behaviour was read from the repository and checked. Design = the agreed TDS design. Standard = good practice; the exact behaviour is not fixed in code, so record what you see.</t>
  </si>
  <si>
    <t>Test data</t>
  </si>
  <si>
    <t>All customers, sites and invoices are made up. The upload files are in docs/test-data/upload-pack/. The customers and sites exist in the test database (see 'Test Data'). Nothing was taken from real data.</t>
  </si>
  <si>
    <t>Run order</t>
  </si>
  <si>
    <t>1) Set up the test customers (already done in the database).  2) Upload and Submit ALL_CASES_invoice_upload_TDS2pct.xlsx.  3) Run the payments from its 'Payments to Record' sheet.  4) Then the validation, edge, five-status and file-level files.  Submit ALL_CASES before VALIDATION, because one validation row repeats an invoice number from it.</t>
  </si>
  <si>
    <t>Known gaps to decide</t>
  </si>
  <si>
    <t>• The accountant panel has no Cancel button for an invoice.  • Payment List shows cash only, not TDS.  • The TDS page accepts any rate from 0 to 100 (only 2% is meant to be used).  • Payment Tracking and Customer Outstanding are not in the menu (URL only).  • A remark longer than 1000 characters or an amount with more than 2 decimals is accepted by the review but may behave oddly on Submit (see the EDGE file).</t>
  </si>
  <si>
    <t>Execution summary (updates from the Test Cases sheet)</t>
  </si>
  <si>
    <t>Module</t>
  </si>
  <si>
    <t>Total</t>
  </si>
  <si>
    <t>Pass</t>
  </si>
  <si>
    <t>Fail</t>
  </si>
  <si>
    <t>Blocked</t>
  </si>
  <si>
    <t>Skipped</t>
  </si>
  <si>
    <t>Not Run</t>
  </si>
  <si>
    <t>Progress %</t>
  </si>
  <si>
    <t>Pass %</t>
  </si>
  <si>
    <t>Login, Menu &amp; Access</t>
  </si>
  <si>
    <t>Dashboard</t>
  </si>
  <si>
    <t>Invoice Upload</t>
  </si>
  <si>
    <t>Review &amp; Validate and Submit</t>
  </si>
  <si>
    <t>Row Validation (per row of the upload)</t>
  </si>
  <si>
    <t>Invoice List &amp; Invoice Details</t>
  </si>
  <si>
    <t>Invoice Status (five statuses)</t>
  </si>
  <si>
    <t>Outstanding, Customer Outstanding &amp; Payment Tracking</t>
  </si>
  <si>
    <t>Record Payment</t>
  </si>
  <si>
    <t>Payment List</t>
  </si>
  <si>
    <t>TDS</t>
  </si>
  <si>
    <t>Tasks &amp; Reminders</t>
  </si>
  <si>
    <t>Layout, Responsive &amp; Usability</t>
  </si>
  <si>
    <t>Security</t>
  </si>
  <si>
    <t>Database Checks (phpMyAdmin / SQL)</t>
  </si>
  <si>
    <t>End-to-End Scenarios</t>
  </si>
  <si>
    <t>TOTAL</t>
  </si>
  <si>
    <t>By priority</t>
  </si>
  <si>
    <t>P1</t>
  </si>
  <si>
    <t>P2</t>
  </si>
  <si>
    <t>P3</t>
  </si>
  <si>
    <t>P4</t>
  </si>
  <si>
    <t>By type</t>
  </si>
  <si>
    <t>Boundary</t>
  </si>
  <si>
    <t>Compatibility</t>
  </si>
  <si>
    <t>Design</t>
  </si>
  <si>
    <t>Functional</t>
  </si>
  <si>
    <t>Integration</t>
  </si>
  <si>
    <t>Negative</t>
  </si>
  <si>
    <t>Performance</t>
  </si>
  <si>
    <t>Responsive</t>
  </si>
  <si>
    <t>UI/UX</t>
  </si>
  <si>
    <t>Usability</t>
  </si>
  <si>
    <t>Validation</t>
  </si>
  <si>
    <t>Test ID</t>
  </si>
  <si>
    <t>Screen / Area</t>
  </si>
  <si>
    <t>Scenario</t>
  </si>
  <si>
    <t>Type</t>
  </si>
  <si>
    <t>Pre-condition</t>
  </si>
  <si>
    <t>Test Steps</t>
  </si>
  <si>
    <t>Test Data</t>
  </si>
  <si>
    <t>Expected Result</t>
  </si>
  <si>
    <t>Basis</t>
  </si>
  <si>
    <t>Actual Result</t>
  </si>
  <si>
    <t>Status</t>
  </si>
  <si>
    <t>Tester</t>
  </si>
  <si>
    <t>Executed On</t>
  </si>
  <si>
    <t>Defect ID / Remarks</t>
  </si>
  <si>
    <t>ACC-001</t>
  </si>
  <si>
    <t>Login</t>
  </si>
  <si>
    <t>Accountant logs in</t>
  </si>
  <si>
    <t>Accountant user is active</t>
  </si>
  <si>
    <t xml:space="preserve">1. Open /login
2. Tick Terms
3. Enter the accountant email and password
4. Click Login</t>
  </si>
  <si>
    <t>Accountant user</t>
  </si>
  <si>
    <t>Lands on /accountant (dashboard); header shows 'Accountant Panel', bell icon and user icon</t>
  </si>
  <si>
    <t>Code</t>
  </si>
  <si>
    <t>ACC-002</t>
  </si>
  <si>
    <t>Wrong password</t>
  </si>
  <si>
    <t>-</t>
  </si>
  <si>
    <t>1. Enter the accountant email with a wrong password</t>
  </si>
  <si>
    <t>Wrong@999</t>
  </si>
  <si>
    <t>Alert 'Invalid credentials'; stays on /login</t>
  </si>
  <si>
    <t>ACC-003</t>
  </si>
  <si>
    <t>Login button disabled until Terms is ticked</t>
  </si>
  <si>
    <t xml:space="preserve">1. Fill email and password
2. Leave Terms unticked</t>
  </si>
  <si>
    <t>Login button stays disabled</t>
  </si>
  <si>
    <t>ACC-004</t>
  </si>
  <si>
    <t>Session</t>
  </si>
  <si>
    <t>Refresh keeps the user logged in</t>
  </si>
  <si>
    <t>Logged in</t>
  </si>
  <si>
    <t>1. Press F5 on Invoice List</t>
  </si>
  <si>
    <t>Same page reloads; still logged in</t>
  </si>
  <si>
    <t>Standard</t>
  </si>
  <si>
    <t>ACC-005</t>
  </si>
  <si>
    <t>Logout</t>
  </si>
  <si>
    <t xml:space="preserve">1. User icon &gt; Logout
2. Press Back</t>
  </si>
  <si>
    <t>Returns to /login; Back does not show a protected page</t>
  </si>
  <si>
    <t>ACC-006</t>
  </si>
  <si>
    <t>Invalid or expired token</t>
  </si>
  <si>
    <t xml:space="preserve">1. Change the token in localStorage to random text
2. Click any menu item</t>
  </si>
  <si>
    <t>Redirected to /login</t>
  </si>
  <si>
    <t>ACC-007</t>
  </si>
  <si>
    <t>Menu</t>
  </si>
  <si>
    <t>Sidebar items and order</t>
  </si>
  <si>
    <t>1. Look at the sidebar</t>
  </si>
  <si>
    <t>Dashboard; Invoices (Invoice Upload, Review &amp; Validate, Invoice List, Outstanding); Payments (Record Payment, Payment List); Tasks &amp; Reminders; TDS</t>
  </si>
  <si>
    <t>ACC-008</t>
  </si>
  <si>
    <t>Every menu item opens the right page</t>
  </si>
  <si>
    <t>1. Click each menu item in turn</t>
  </si>
  <si>
    <t>Each opens its own page with a matching heading; the active item is highlighted</t>
  </si>
  <si>
    <t>ACC-009</t>
  </si>
  <si>
    <t>Invoices and Payments groups expand and collapse</t>
  </si>
  <si>
    <t>1. Click Invoices and Payments</t>
  </si>
  <si>
    <t>Sub-menus open and close</t>
  </si>
  <si>
    <t>ACC-010</t>
  </si>
  <si>
    <t>Payment Tracking and Customer Outstanding are not in the menu</t>
  </si>
  <si>
    <t>1. Open /accountant/invoices/tracking and /accountant/payments/customer-outstanding by URL</t>
  </si>
  <si>
    <t>Both pages open and work (they are reachable by URL only)</t>
  </si>
  <si>
    <t>ACC-011</t>
  </si>
  <si>
    <t>Access</t>
  </si>
  <si>
    <t>Other roles cannot open /accountant</t>
  </si>
  <si>
    <t>Logged in as admin, supervisor, technician and client in turn</t>
  </si>
  <si>
    <t>1. Type /accountant in the address bar</t>
  </si>
  <si>
    <t>Each role</t>
  </si>
  <si>
    <t>Redirected to that role's own home; accountant pages never shown</t>
  </si>
  <si>
    <t>ACC-012</t>
  </si>
  <si>
    <t>Not logged in</t>
  </si>
  <si>
    <t>Logged out</t>
  </si>
  <si>
    <t>1. Open /accountant/invoices/list</t>
  </si>
  <si>
    <t>ACC-013</t>
  </si>
  <si>
    <t>Accountant cannot open admin pages</t>
  </si>
  <si>
    <t>Logged in as accountant</t>
  </si>
  <si>
    <t>1. Open /admin and /supervisor</t>
  </si>
  <si>
    <t>Redirected back to /accountant</t>
  </si>
  <si>
    <t>ACC-014</t>
  </si>
  <si>
    <t>Only own-branch data is visible</t>
  </si>
  <si>
    <t>Customers with sites in two branches (Head Office and abc)</t>
  </si>
  <si>
    <t>1. Open Invoice List, Payment List, TDS page</t>
  </si>
  <si>
    <t>SFC10 and BCI22 sites are in branch abc</t>
  </si>
  <si>
    <t>Invoices and customers of the other branch (abc) never appear</t>
  </si>
  <si>
    <t>ACC-015</t>
  </si>
  <si>
    <t>Header</t>
  </si>
  <si>
    <t>Bell icon shows the unread count and opens the list</t>
  </si>
  <si>
    <t>Unread notifications exist</t>
  </si>
  <si>
    <t xml:space="preserve">1. Look at the bell
2. Click it</t>
  </si>
  <si>
    <t>Icon with a count badge (99+ when over 99); list opens; clicking an item opens its page</t>
  </si>
  <si>
    <t>ACC-016</t>
  </si>
  <si>
    <t>Profile</t>
  </si>
  <si>
    <t>Change own password</t>
  </si>
  <si>
    <t xml:space="preserve">1. User icon &gt; Profile &gt; Change password
2. Current + new password (6+ characters)
3. Save
4. Log in with the new password</t>
  </si>
  <si>
    <t>Password changed; old one no longer works; wrong current password gives 'Current password is incorrect'</t>
  </si>
  <si>
    <t>DSH-001</t>
  </si>
  <si>
    <t>Default date range</t>
  </si>
  <si>
    <t>1. Open Dashboard</t>
  </si>
  <si>
    <t>From = 1st of the current month, To = today; numbers cover only that range</t>
  </si>
  <si>
    <t>DSH-002</t>
  </si>
  <si>
    <t>Six tiles show the right numbers</t>
  </si>
  <si>
    <t>Invoices from the ALL_CASES file submitted</t>
  </si>
  <si>
    <t xml:space="preserve">1. Clear both dates
2. Compare the tiles with the Invoice List</t>
  </si>
  <si>
    <t>See Test Data sheet</t>
  </si>
  <si>
    <t>Total Invoices, Total Collected, Outstanding, Overdue, Due This Week and Today's Follow-ups match the list</t>
  </si>
  <si>
    <t>DSH-003</t>
  </si>
  <si>
    <t>Total Invoices excludes cancelled invoices</t>
  </si>
  <si>
    <t>One invoice cancelled</t>
  </si>
  <si>
    <t>1. Compare the tile with the list</t>
  </si>
  <si>
    <t>Cancelled invoice is not counted</t>
  </si>
  <si>
    <t>DSH-004</t>
  </si>
  <si>
    <t>Total Collected uses cash + TDS settled on invoices</t>
  </si>
  <si>
    <t>Payment with TDS recorded</t>
  </si>
  <si>
    <t xml:space="preserve">1. Record cash 49,000 + TDS 1,000 on a 50,000 invoice
2. Open Dashboard</t>
  </si>
  <si>
    <t>Total Collected grows by 50,000 (the TDS counts as settled)</t>
  </si>
  <si>
    <t>DSH-005</t>
  </si>
  <si>
    <t>Overdue tile uses the Overdue status</t>
  </si>
  <si>
    <t>Invoices past their due date</t>
  </si>
  <si>
    <t>1. Compare the Overdue tile with the Overdue tab</t>
  </si>
  <si>
    <t>Amount and count equal the sum of pending on Overdue invoices</t>
  </si>
  <si>
    <t>DSH-006</t>
  </si>
  <si>
    <t>Due This Week counts today up to +7 days</t>
  </si>
  <si>
    <t>Invoices due today, +7 and +8 days</t>
  </si>
  <si>
    <t>1. Read the Due This Week tile</t>
  </si>
  <si>
    <t>ALL_CASES cases 12, 15, 16</t>
  </si>
  <si>
    <t>Due today and in exactly 7 days are counted; +8 days is not</t>
  </si>
  <si>
    <t>DSH-007</t>
  </si>
  <si>
    <t>Type a From and To date</t>
  </si>
  <si>
    <t xml:space="preserve">1. Click From, type 01092026
2. Click To, type 30092026</t>
  </si>
  <si>
    <t>01/09/2026 - 30/09/2026</t>
  </si>
  <si>
    <t>Slashes added (dd/mm/yyyy); all tiles, charts and lists update</t>
  </si>
  <si>
    <t>DSH-008</t>
  </si>
  <si>
    <t>Pick a date from the calendar icon</t>
  </si>
  <si>
    <t xml:space="preserve">1. Click the calendar icon
2. Choose a date</t>
  </si>
  <si>
    <t>Chosen date is visible in the box; data updates</t>
  </si>
  <si>
    <t>DSH-009</t>
  </si>
  <si>
    <t>Half-typed date</t>
  </si>
  <si>
    <t xml:space="preserve">1. Type 0109 in From
2. Click elsewhere</t>
  </si>
  <si>
    <t>0109</t>
  </si>
  <si>
    <t>'01/09' stays visible with an amber border; not used as a filter</t>
  </si>
  <si>
    <t>DSH-010</t>
  </si>
  <si>
    <t>Clear both dates</t>
  </si>
  <si>
    <t>1. Delete From and To</t>
  </si>
  <si>
    <t>All-time numbers shown</t>
  </si>
  <si>
    <t>DSH-011</t>
  </si>
  <si>
    <t>Invoices counted by invoice date</t>
  </si>
  <si>
    <t>Invoices dated in different months</t>
  </si>
  <si>
    <t>1. Set From and To around one month</t>
  </si>
  <si>
    <t>Only invoices whose Invoice Date is in the range are counted</t>
  </si>
  <si>
    <t>DSH-012</t>
  </si>
  <si>
    <t>Filters and Reset</t>
  </si>
  <si>
    <t xml:space="preserve">1. Open Filters
2. Choose customer, site, status, mode
3. Reset</t>
  </si>
  <si>
    <t>Reset clears the choices and returns the dates to this month; disabled when nothing to reset</t>
  </si>
  <si>
    <t>DSH-013</t>
  </si>
  <si>
    <t>Trend chart</t>
  </si>
  <si>
    <t>Invoiced bars use the invoice date</t>
  </si>
  <si>
    <t>Invoices dated April to September 2026</t>
  </si>
  <si>
    <t xml:space="preserve">1. Clear the dates
2. Hover each month on the Invoice &amp; Collection Trend</t>
  </si>
  <si>
    <t>Invoiced = sum of invoice amounts dated in that month; only the last 6 months are shown</t>
  </si>
  <si>
    <t>DSH-014</t>
  </si>
  <si>
    <t>Collected bars use the payment date</t>
  </si>
  <si>
    <t>Payments in different months</t>
  </si>
  <si>
    <t>1. Hover the months</t>
  </si>
  <si>
    <t>Collected = cash received on payments dated in that month</t>
  </si>
  <si>
    <t>DSH-015</t>
  </si>
  <si>
    <t>Invoiced is 0 when no invoice is dated in that month</t>
  </si>
  <si>
    <t>Only invoices dated 2019-2025</t>
  </si>
  <si>
    <t>1. Hover July 2026</t>
  </si>
  <si>
    <t>Invoiced ₹0 (older invoices are outside the 6 months)</t>
  </si>
  <si>
    <t>DSH-016</t>
  </si>
  <si>
    <t>Invoice dated later than the To date</t>
  </si>
  <si>
    <t>Invoice dated 30/09/2026, today 21/09/2026</t>
  </si>
  <si>
    <t>1. Leave the default range</t>
  </si>
  <si>
    <t>That invoice is not counted until the date range includes it</t>
  </si>
  <si>
    <t>DSH-017</t>
  </si>
  <si>
    <t>Payment Status</t>
  </si>
  <si>
    <t>Donut counts by displayed status</t>
  </si>
  <si>
    <t>Invoices in all statuses</t>
  </si>
  <si>
    <t>1. Read Paid / Partial / Pending / Overdue counts</t>
  </si>
  <si>
    <t>Counts and percentages add up to the invoices in range; cancelled excluded</t>
  </si>
  <si>
    <t>DSH-018</t>
  </si>
  <si>
    <t>Tables</t>
  </si>
  <si>
    <t>Top Outstanding Customers</t>
  </si>
  <si>
    <t xml:space="preserve">1. Read the table
2. Click View All</t>
  </si>
  <si>
    <t>Sorted by outstanding, largest first; View All opens the list</t>
  </si>
  <si>
    <t>DSH-019</t>
  </si>
  <si>
    <t>Recent Payments</t>
  </si>
  <si>
    <t>Payments exist</t>
  </si>
  <si>
    <t>Latest payments shown; View All opens Payment List</t>
  </si>
  <si>
    <t>DSH-020</t>
  </si>
  <si>
    <t>Upcoming Reminders &amp; Tasks</t>
  </si>
  <si>
    <t>Open tasks exist</t>
  </si>
  <si>
    <t>1. Read the table</t>
  </si>
  <si>
    <t>Open tasks in date order; 'No upcoming reminders' when none</t>
  </si>
  <si>
    <t>DSH-021</t>
  </si>
  <si>
    <t>Follow-ups</t>
  </si>
  <si>
    <t>Today's Follow-ups tile</t>
  </si>
  <si>
    <t>A task due today</t>
  </si>
  <si>
    <t xml:space="preserve">1. Add a reminder due today
2. Open Dashboard</t>
  </si>
  <si>
    <t>Tile shows the number of open tasks due today</t>
  </si>
  <si>
    <t>DSH-022</t>
  </si>
  <si>
    <t>Loading</t>
  </si>
  <si>
    <t>Skeleton while loading, empty states after</t>
  </si>
  <si>
    <t>Slow network</t>
  </si>
  <si>
    <t>1. Open Dashboard with throttled network</t>
  </si>
  <si>
    <t>Pulsing placeholders, then data or 'No ... yet' messages; no stuck skeleton</t>
  </si>
  <si>
    <t>DSH-023</t>
  </si>
  <si>
    <t>Errors</t>
  </si>
  <si>
    <t>Backend down</t>
  </si>
  <si>
    <t>Backend stopped</t>
  </si>
  <si>
    <t>Error message with a Try again link; works after the backend is back</t>
  </si>
  <si>
    <t>DSH-024</t>
  </si>
  <si>
    <t>Layout</t>
  </si>
  <si>
    <t>Greeting and header</t>
  </si>
  <si>
    <t>'Good Morning/Afternoon/Evening, &lt;name&gt;'</t>
  </si>
  <si>
    <t>UPL-001</t>
  </si>
  <si>
    <t>Screen</t>
  </si>
  <si>
    <t>Page content</t>
  </si>
  <si>
    <t>1. Open Invoice Upload</t>
  </si>
  <si>
    <t>Title 'Upload Invoices', drop area, Select Excel File, info note, Upload &amp; Validate (disabled), Recent Uploads, Download Template</t>
  </si>
  <si>
    <t>UPL-002</t>
  </si>
  <si>
    <t>Template</t>
  </si>
  <si>
    <t>Download the template</t>
  </si>
  <si>
    <t>1. Click Download Template</t>
  </si>
  <si>
    <t>File with headers Invoice No, Customer, Site, Invoice Date, Due Date, Amount, Remarks</t>
  </si>
  <si>
    <t>UPL-003</t>
  </si>
  <si>
    <t>File</t>
  </si>
  <si>
    <t>Choose a valid .xlsx</t>
  </si>
  <si>
    <t xml:space="preserve">1. Click Select Excel File
2. Pick ALL_CASES_invoice_upload_TDS2pct.xlsx</t>
  </si>
  <si>
    <t>ALL_CASES_invoice_upload_TDS2pct.xlsx</t>
  </si>
  <si>
    <t>File name chip appears; Upload &amp; Validate becomes enabled</t>
  </si>
  <si>
    <t>UPL-004</t>
  </si>
  <si>
    <t>Drag and drop</t>
  </si>
  <si>
    <t>1. Drag the file onto the drop area</t>
  </si>
  <si>
    <t>Same as choosing it</t>
  </si>
  <si>
    <t>UPL-005</t>
  </si>
  <si>
    <t>Remove the chosen file</t>
  </si>
  <si>
    <t>File chosen</t>
  </si>
  <si>
    <t>1. Click the X on the file chip</t>
  </si>
  <si>
    <t>Chip removed; button disabled again</t>
  </si>
  <si>
    <t>UPL-006</t>
  </si>
  <si>
    <t>Upload button disabled with no file</t>
  </si>
  <si>
    <t>1. Open the page</t>
  </si>
  <si>
    <t>Upload &amp; Validate is disabled</t>
  </si>
  <si>
    <t>UPL-007</t>
  </si>
  <si>
    <t>Wrong file type (PDF, image)</t>
  </si>
  <si>
    <t>1. Choose file_level_checks/04_wrong_type.pdf, then 05_wrong_type.png</t>
  </si>
  <si>
    <t>04_wrong_type.pdf, 05_wrong_type.png</t>
  </si>
  <si>
    <t>Rejected with a clear message; nothing uploaded</t>
  </si>
  <si>
    <t>UPL-008</t>
  </si>
  <si>
    <t>File over 5 MB</t>
  </si>
  <si>
    <t>1. Choose file_level_checks/06_over_5MB.xlsx</t>
  </si>
  <si>
    <t>06_over_5MB.xlsx (5.6 MB)</t>
  </si>
  <si>
    <t>'The file is too large (maximum 5 MB)'</t>
  </si>
  <si>
    <t>UPL-009</t>
  </si>
  <si>
    <t>Missing required columns</t>
  </si>
  <si>
    <t>1. Upload file_level_checks/01_missing_columns.xlsx</t>
  </si>
  <si>
    <t>01_missing_columns.xlsx</t>
  </si>
  <si>
    <t>'The file is missing these columns: Site, Amount. Please use the template.'</t>
  </si>
  <si>
    <t>UPL-010</t>
  </si>
  <si>
    <t>Headers only</t>
  </si>
  <si>
    <t>1. Upload file_level_checks/02_headers_only.xlsx</t>
  </si>
  <si>
    <t>02_headers_only.xlsx</t>
  </si>
  <si>
    <t>'The file has no invoice rows.'</t>
  </si>
  <si>
    <t>UPL-011</t>
  </si>
  <si>
    <t>Corrupt file named .xlsx</t>
  </si>
  <si>
    <t>1. Upload file_level_checks/03_corrupt_file.xlsx</t>
  </si>
  <si>
    <t>03_corrupt_file.xlsx</t>
  </si>
  <si>
    <t>'The file could not be read. Please upload a valid .xlsx or .csv file.'</t>
  </si>
  <si>
    <t>UPL-012</t>
  </si>
  <si>
    <t>5000 rows accepted, 5001 rejected</t>
  </si>
  <si>
    <t xml:space="preserve">1. Upload 07_5000_rows.xlsx
2. Upload 08_5001_rows.xlsx</t>
  </si>
  <si>
    <t>file_level_checks/07 and 08</t>
  </si>
  <si>
    <t>5000: accepted (5000 valid); 5001: 'The file has more than 5000 rows. Please split it into smaller files.'</t>
  </si>
  <si>
    <t>UPL-013</t>
  </si>
  <si>
    <t>Alternate header names and column order</t>
  </si>
  <si>
    <t>1. Upload file_level_checks/09_alternate_headers.xlsx</t>
  </si>
  <si>
    <t>09_alternate_headers.xlsx</t>
  </si>
  <si>
    <t>8 rows valid; extra column ignored</t>
  </si>
  <si>
    <t>UPL-014</t>
  </si>
  <si>
    <t>Upload</t>
  </si>
  <si>
    <t>Upload &amp; Validate saves nothing yet</t>
  </si>
  <si>
    <t>Empty invoices table</t>
  </si>
  <si>
    <t xml:space="preserve">1. Upload ALL_CASES_invoice_upload_TDS2pct.xlsx
2. Look at Invoice List and the database</t>
  </si>
  <si>
    <t>Invoice List stays empty; database has 1 invoice_imports row (PREVIEWED) and 42 invoice_import_rows; invoices table has 0 rows</t>
  </si>
  <si>
    <t>UPL-015</t>
  </si>
  <si>
    <t>Success pop-up appears</t>
  </si>
  <si>
    <t>1. Upload a valid file</t>
  </si>
  <si>
    <t>'Successfully uploaded' pop-up top-right with file name and counts; opens Review &amp; Validate</t>
  </si>
  <si>
    <t>UPL-016</t>
  </si>
  <si>
    <t>Pop-up closes by itself and does not return on refresh</t>
  </si>
  <si>
    <t xml:space="preserve">1. Wait about 7 seconds
2. Refresh the page</t>
  </si>
  <si>
    <t>Pop-up disappears; not shown again after refresh; X closes it earlier</t>
  </si>
  <si>
    <t>UPL-017</t>
  </si>
  <si>
    <t>Pop-up when nothing is valid</t>
  </si>
  <si>
    <t>A file where every row is wrong</t>
  </si>
  <si>
    <t>1. Upload it</t>
  </si>
  <si>
    <t>Amber pop-up 'Uploaded, but nothing can be imported'</t>
  </si>
  <si>
    <t>UPL-018</t>
  </si>
  <si>
    <t>Busy state</t>
  </si>
  <si>
    <t>1. Click Upload &amp; Validate on a large file</t>
  </si>
  <si>
    <t>07_5000_rows.xlsx</t>
  </si>
  <si>
    <t>Button shows 'Checking file…' and is disabled meanwhile</t>
  </si>
  <si>
    <t>UPL-019</t>
  </si>
  <si>
    <t>Network problem</t>
  </si>
  <si>
    <t>1. Click Upload &amp; Validate</t>
  </si>
  <si>
    <t>'Network problem. Please check your connection and try again.'; can retry</t>
  </si>
  <si>
    <t>UPL-020</t>
  </si>
  <si>
    <t>Recent uploads</t>
  </si>
  <si>
    <t>List of past uploads</t>
  </si>
  <si>
    <t>Uploads exist</t>
  </si>
  <si>
    <t>1. Look at Recent Uploads</t>
  </si>
  <si>
    <t>File names listed; 'No uploads yet' when empty; clicking one opens its Review</t>
  </si>
  <si>
    <t>UPL-021</t>
  </si>
  <si>
    <t>Remove an upload that was not submitted</t>
  </si>
  <si>
    <t>A previewed upload</t>
  </si>
  <si>
    <t xml:space="preserve">1. Click X on it
2. Confirm</t>
  </si>
  <si>
    <t>Confirm text says records will be discarded; upload and its rows deleted from the database</t>
  </si>
  <si>
    <t>UPL-022</t>
  </si>
  <si>
    <t>Remove an upload that was submitted</t>
  </si>
  <si>
    <t>A submitted upload</t>
  </si>
  <si>
    <t>Confirm text says invoices stay; the invoices remain; invoice_imports and invoice_import_rows rows are deleted</t>
  </si>
  <si>
    <t>UPL-023</t>
  </si>
  <si>
    <t>Cancel the confirmation</t>
  </si>
  <si>
    <t>1. Click X then Cancel in the pop-up</t>
  </si>
  <si>
    <t>Nothing removed</t>
  </si>
  <si>
    <t>UPL-024</t>
  </si>
  <si>
    <t>Info note</t>
  </si>
  <si>
    <t>Note explains the Submit step</t>
  </si>
  <si>
    <t>1. Read the blue note</t>
  </si>
  <si>
    <t>Says the file is checked first and nothing is saved until Submit</t>
  </si>
  <si>
    <t>UPL-025</t>
  </si>
  <si>
    <t>Same file twice</t>
  </si>
  <si>
    <t>File already submitted</t>
  </si>
  <si>
    <t xml:space="preserve">1. Upload it again
2. Open Review</t>
  </si>
  <si>
    <t>Every row is an error: 'Duplicate invoice number: this customer already has this invoice'; Submit disabled</t>
  </si>
  <si>
    <t>REV-001</t>
  </si>
  <si>
    <t>Review</t>
  </si>
  <si>
    <t>Counts and tabs</t>
  </si>
  <si>
    <t>A mixed file uploaded</t>
  </si>
  <si>
    <t>1. Open Review &amp; Validate</t>
  </si>
  <si>
    <t>VALIDATION_all_cases_invoice_upload.xlsx</t>
  </si>
  <si>
    <t>Total Records, Valid, Errors tiles; tabs All (n), Valid (n), Errors (n) with the same counts</t>
  </si>
  <si>
    <t>REV-002</t>
  </si>
  <si>
    <t>Row numbers equal Excel row numbers</t>
  </si>
  <si>
    <t>1. Compare with the Excel file</t>
  </si>
  <si>
    <t>Row # is the Excel row (header is row 1)</t>
  </si>
  <si>
    <t>REV-003</t>
  </si>
  <si>
    <t>Error reasons listed per row</t>
  </si>
  <si>
    <t>1. Open the Errors tab</t>
  </si>
  <si>
    <t>Each error row shows every reason as a list; expected messages are on the file's 'Expected Results' sheet</t>
  </si>
  <si>
    <t>REV-004</t>
  </si>
  <si>
    <t>Blank row is skipped</t>
  </si>
  <si>
    <t>1. Upload VALIDATION_all_cases_invoice_upload.xlsx</t>
  </si>
  <si>
    <t>The completely empty row is not counted</t>
  </si>
  <si>
    <t>REV-005</t>
  </si>
  <si>
    <t>Empty state</t>
  </si>
  <si>
    <t>Nothing uploaded</t>
  </si>
  <si>
    <t>1. Open Review &amp; Validate from the menu</t>
  </si>
  <si>
    <t>'Nothing to review yet' with a Go to Invoice Upload button</t>
  </si>
  <si>
    <t>REV-006</t>
  </si>
  <si>
    <t>Loading skeleton</t>
  </si>
  <si>
    <t>1. Open Review with throttled network</t>
  </si>
  <si>
    <t>Skeleton of title, tiles and table</t>
  </si>
  <si>
    <t>REV-007</t>
  </si>
  <si>
    <t>Opens the latest upload when nothing is selected</t>
  </si>
  <si>
    <t>1. Click Review &amp; Validate in the menu</t>
  </si>
  <si>
    <t>The most recent upload is shown</t>
  </si>
  <si>
    <t>REV-008</t>
  </si>
  <si>
    <t>Paging 50 rows per page</t>
  </si>
  <si>
    <t>A file with more than 50 rows</t>
  </si>
  <si>
    <t xml:space="preserve">1. Upload file_level_checks/07_5000_rows.xlsx
2. Use the pager</t>
  </si>
  <si>
    <t>50 rows per page; 'Showing x to y of z' correct</t>
  </si>
  <si>
    <t>REV-009</t>
  </si>
  <si>
    <t>Submit</t>
  </si>
  <si>
    <t>Submit button is in the header</t>
  </si>
  <si>
    <t>Valid rows present</t>
  </si>
  <si>
    <t>1. Look at the top right of the page</t>
  </si>
  <si>
    <t>'Submit N Records' next to the file name and Replace; visible without scrolling</t>
  </si>
  <si>
    <t>REV-010</t>
  </si>
  <si>
    <t>Submit saves the valid rows</t>
  </si>
  <si>
    <t>41 valid rows</t>
  </si>
  <si>
    <t>1. Click Submit</t>
  </si>
  <si>
    <t>Opens Invoice List; 41 invoices exist; invoice_tds has 41 rows; each import row has created_invoice_id; upload is CONFIRMED</t>
  </si>
  <si>
    <t>REV-011</t>
  </si>
  <si>
    <t>Invoices link to customer and site</t>
  </si>
  <si>
    <t>After Submit</t>
  </si>
  <si>
    <t>1. Run the join query from the Database Checks module</t>
  </si>
  <si>
    <t>Every invoice has a customer, a site, a branch and an invoice_tds row</t>
  </si>
  <si>
    <t>REV-012</t>
  </si>
  <si>
    <t>Error rows are never saved</t>
  </si>
  <si>
    <t>Mixed file</t>
  </si>
  <si>
    <t xml:space="preserve">1. Submit
2. Open Invoice List</t>
  </si>
  <si>
    <t>Only valid rows exist as invoices</t>
  </si>
  <si>
    <t>REV-013</t>
  </si>
  <si>
    <t>Submit disabled when nothing is valid</t>
  </si>
  <si>
    <t>No valid rows</t>
  </si>
  <si>
    <t>1. Open Review</t>
  </si>
  <si>
    <t>Submit is disabled</t>
  </si>
  <si>
    <t>REV-014</t>
  </si>
  <si>
    <t>Submit twice</t>
  </si>
  <si>
    <t>Already submitted</t>
  </si>
  <si>
    <t>1. Open the same review again</t>
  </si>
  <si>
    <t>Button reads 'Submitted' and is disabled; API says 'This import has already been imported.'</t>
  </si>
  <si>
    <t>REV-015</t>
  </si>
  <si>
    <t>Double click on Submit</t>
  </si>
  <si>
    <t>1. Double-click Submit</t>
  </si>
  <si>
    <t>Only one set of invoices is created (button shows 'Submitting…' and is disabled)</t>
  </si>
  <si>
    <t>REV-016</t>
  </si>
  <si>
    <t>A row becomes a duplicate after upload</t>
  </si>
  <si>
    <t>Upload previewed</t>
  </si>
  <si>
    <t xml:space="preserve">1. Create the same invoice another way
2. Click Submit</t>
  </si>
  <si>
    <t>Row skipped with a reason; message '… submitted. … row(s) were skipped'</t>
  </si>
  <si>
    <t>REV-017</t>
  </si>
  <si>
    <t>All-or-nothing</t>
  </si>
  <si>
    <t>1. Force a database error during Submit (e.g. stop MySQL mid-way)</t>
  </si>
  <si>
    <t>Nothing is half saved; Submit can be retried</t>
  </si>
  <si>
    <t>REV-018</t>
  </si>
  <si>
    <t>Bell notification after Submit</t>
  </si>
  <si>
    <t xml:space="preserve">1. Submit
2. Open the bell</t>
  </si>
  <si>
    <t>Notification with the file name and counts; clicking it opens Review</t>
  </si>
  <si>
    <t>REV-019</t>
  </si>
  <si>
    <t>Download error rows</t>
  </si>
  <si>
    <t>Errors exist</t>
  </si>
  <si>
    <t>1. Click Download Error Rows</t>
  </si>
  <si>
    <t>CSV with only failed rows and their reasons</t>
  </si>
  <si>
    <t>REV-020</t>
  </si>
  <si>
    <t>Replace</t>
  </si>
  <si>
    <t>Replace the file</t>
  </si>
  <si>
    <t xml:space="preserve">1. Click Replace
2. Upload another file</t>
  </si>
  <si>
    <t>Back to upload; the new file is reviewed</t>
  </si>
  <si>
    <t>REV-021</t>
  </si>
  <si>
    <t>Back</t>
  </si>
  <si>
    <t>Back arrow returns to upload</t>
  </si>
  <si>
    <t>1. Click the arrow next to the title</t>
  </si>
  <si>
    <t>Invoice Upload opens</t>
  </si>
  <si>
    <t>REV-022</t>
  </si>
  <si>
    <t>Another user's upload</t>
  </si>
  <si>
    <t>Upload made by another user</t>
  </si>
  <si>
    <t>1. Open /accountant/invoices/review?import=&lt;their id&gt;</t>
  </si>
  <si>
    <t>'Import not found'; nothing shown</t>
  </si>
  <si>
    <t>REV-023</t>
  </si>
  <si>
    <t>Icons and layout</t>
  </si>
  <si>
    <t>1. Look at the page</t>
  </si>
  <si>
    <t>Icons on title, tiles, tabs and buttons; Download Error Rows at the bottom; no button under the taskbar</t>
  </si>
  <si>
    <t>ROW-001</t>
  </si>
  <si>
    <t>Validation row</t>
  </si>
  <si>
    <t>Invoice number empty</t>
  </si>
  <si>
    <t>Customers and sites of the test data exist</t>
  </si>
  <si>
    <t xml:space="preserve">1. Upload VALIDATION_all_cases_invoice_upload.xlsx
2. Open Review &amp; Validate
3. Find the row</t>
  </si>
  <si>
    <t>VALIDATION_all_cases_invoice_upload.xlsx - row 'Invoice number empty'</t>
  </si>
  <si>
    <t>'Invoice number is required'</t>
  </si>
  <si>
    <t>ROW-002</t>
  </si>
  <si>
    <t>Invoice number only spaces</t>
  </si>
  <si>
    <t>ROW-003</t>
  </si>
  <si>
    <t>Invoice number 100 characters</t>
  </si>
  <si>
    <t>Valid</t>
  </si>
  <si>
    <t>ROW-004</t>
  </si>
  <si>
    <t>Invoice number 101 characters</t>
  </si>
  <si>
    <t>'Invoice number is too long (maximum 100 characters)'</t>
  </si>
  <si>
    <t>ROW-005</t>
  </si>
  <si>
    <t>Invoice number with special characters (/ # ( ) &amp; ü)</t>
  </si>
  <si>
    <t>ROW-006</t>
  </si>
  <si>
    <t>Customer empty</t>
  </si>
  <si>
    <t>'Customer is required'</t>
  </si>
  <si>
    <t>ROW-007</t>
  </si>
  <si>
    <t>Customer does not exist</t>
  </si>
  <si>
    <t>'Customer not found in the system'</t>
  </si>
  <si>
    <t>ROW-008</t>
  </si>
  <si>
    <t>Customer typed as its code (SLL12)</t>
  </si>
  <si>
    <t>Valid; matched to Silverline</t>
  </si>
  <si>
    <t>ROW-009</t>
  </si>
  <si>
    <t>Customer in capitals with spaces, site in lower case</t>
  </si>
  <si>
    <t>ROW-010</t>
  </si>
  <si>
    <t>Two customers with the same name (Twin Traders)</t>
  </si>
  <si>
    <t>'More than one customer has this name. Please use the customer code'</t>
  </si>
  <si>
    <t>ROW-011</t>
  </si>
  <si>
    <t>Same name resolved by code (TWN07A / twn07b)</t>
  </si>
  <si>
    <t>ROW-012</t>
  </si>
  <si>
    <t>Inactive customer (Dormant Stores Ltd)</t>
  </si>
  <si>
    <t>'Customer is inactive'</t>
  </si>
  <si>
    <t>ROW-013</t>
  </si>
  <si>
    <t>Unicode (Kannada) customer and site</t>
  </si>
  <si>
    <t>ROW-014</t>
  </si>
  <si>
    <t>Apostrophe customer (D'Souza)</t>
  </si>
  <si>
    <t>ROW-015</t>
  </si>
  <si>
    <t>Very long customer name (195 characters)</t>
  </si>
  <si>
    <t>ROW-016</t>
  </si>
  <si>
    <t>Site empty</t>
  </si>
  <si>
    <t>'Site is required'</t>
  </si>
  <si>
    <t>ROW-017</t>
  </si>
  <si>
    <t>Site does not exist</t>
  </si>
  <si>
    <t>'Site not found for this customer'</t>
  </si>
  <si>
    <t>ROW-018</t>
  </si>
  <si>
    <t>Site belongs to another customer</t>
  </si>
  <si>
    <t>ROW-019</t>
  </si>
  <si>
    <t>Inactive site (Ambar - Godown B (closed))</t>
  </si>
  <si>
    <t>'Site is inactive'</t>
  </si>
  <si>
    <t>ROW-020</t>
  </si>
  <si>
    <t>Site in another branch (Southern - Depot, Brightside - Annex)</t>
  </si>
  <si>
    <t>VALIDATION_all_cases_invoice_upload.xlsx - accountant of Head Office</t>
  </si>
  <si>
    <t>'This site belongs to another branch, so you cannot create invoices for it'</t>
  </si>
  <si>
    <t>ROW-021</t>
  </si>
  <si>
    <t>Comma inside a site name</t>
  </si>
  <si>
    <t>ROW-022</t>
  </si>
  <si>
    <t>Invoice date empty</t>
  </si>
  <si>
    <t>'Invoice date is required'</t>
  </si>
  <si>
    <t>ROW-023</t>
  </si>
  <si>
    <t>Date as text yyyy-mm-dd, dd/mm/yyyy, dd-mm-yyyy, d/m/yyyy</t>
  </si>
  <si>
    <t>Valid (4 rows)</t>
  </si>
  <si>
    <t>ROW-024</t>
  </si>
  <si>
    <t>Date 31/02/2026, 2026/09/01, 31-31-2026, 00/00/0000, 2026-13-01, 'today', 01.09.2026, 1/9/26</t>
  </si>
  <si>
    <t>Each: 'Invoice date is not valid (use DD/MM/YYYY or YYYY-MM-DD)'</t>
  </si>
  <si>
    <t>ROW-025</t>
  </si>
  <si>
    <t>A plain number typed in the date column</t>
  </si>
  <si>
    <t>'Invoice date is not valid …'</t>
  </si>
  <si>
    <t>ROW-026</t>
  </si>
  <si>
    <t>Leap day 29/02/2028 and year 2000 dates</t>
  </si>
  <si>
    <t>ROW-027</t>
  </si>
  <si>
    <t>Due date empty (optional)</t>
  </si>
  <si>
    <t>ROW-028</t>
  </si>
  <si>
    <t>Due date same as invoice date</t>
  </si>
  <si>
    <t>ROW-029</t>
  </si>
  <si>
    <t>Due date before invoice date</t>
  </si>
  <si>
    <t>'Due date cannot be before the invoice date'</t>
  </si>
  <si>
    <t>ROW-030</t>
  </si>
  <si>
    <t>Due date text ('tomorrow')</t>
  </si>
  <si>
    <t>'Due date is not valid (use DD/MM/YYYY or YYYY-MM-DD)'</t>
  </si>
  <si>
    <t>ROW-031</t>
  </si>
  <si>
    <t>Amount empty</t>
  </si>
  <si>
    <t>'Invoice amount is required'</t>
  </si>
  <si>
    <t>ROW-032</t>
  </si>
  <si>
    <t>Amounts 0.01, 1, 9999999999999.99</t>
  </si>
  <si>
    <t>ROW-033</t>
  </si>
  <si>
    <t>Amounts written as ₹ 1,20,000 / Rs. 5,000.50 / 12,50,000 / '  4500  ' / '100 000'</t>
  </si>
  <si>
    <t>Valid (5 rows)</t>
  </si>
  <si>
    <t>ROW-034</t>
  </si>
  <si>
    <t>Amount 0 and -1</t>
  </si>
  <si>
    <t>'Invoice amount must be greater than 0'</t>
  </si>
  <si>
    <t>ROW-035</t>
  </si>
  <si>
    <t>Amount abc, 1e5, $500, 1.234.567,89</t>
  </si>
  <si>
    <t>'Invoice amount is not a valid number'</t>
  </si>
  <si>
    <t>ROW-036</t>
  </si>
  <si>
    <t>Amount 10000000000000</t>
  </si>
  <si>
    <t>'Invoice amount is too large'</t>
  </si>
  <si>
    <t>ROW-037</t>
  </si>
  <si>
    <t>Remarks empty (optional)</t>
  </si>
  <si>
    <t>ROW-038</t>
  </si>
  <si>
    <t>Remarks 1000 characters, unicode and emoji</t>
  </si>
  <si>
    <t>ROW-039</t>
  </si>
  <si>
    <t>Same invoice number twice, same customer</t>
  </si>
  <si>
    <t>'Duplicate invoice number: also used on row N of this file' on the second row</t>
  </si>
  <si>
    <t>ROW-040</t>
  </si>
  <si>
    <t>Same number in lower case</t>
  </si>
  <si>
    <t>Also a duplicate (case ignored)</t>
  </si>
  <si>
    <t>ROW-041</t>
  </si>
  <si>
    <t>Duplicate found through the customer code</t>
  </si>
  <si>
    <t>Also a duplicate</t>
  </si>
  <si>
    <t>ROW-042</t>
  </si>
  <si>
    <t>Same number for a different customer</t>
  </si>
  <si>
    <t>Valid (unique per customer only)</t>
  </si>
  <si>
    <t>ROW-043</t>
  </si>
  <si>
    <t>Invoice already saved in the system</t>
  </si>
  <si>
    <t>VALIDATION_all_cases_invoice_upload.xlsx - submit ALL_CASES_invoice_upload_TDS2pct.xlsx first</t>
  </si>
  <si>
    <t>'Duplicate invoice number: this customer already has this invoice'</t>
  </si>
  <si>
    <t>ROW-044</t>
  </si>
  <si>
    <t>Several errors in one row</t>
  </si>
  <si>
    <t>All reasons listed (e.g. 3 reasons or 2 reasons)</t>
  </si>
  <si>
    <t>ROW-045</t>
  </si>
  <si>
    <t>Edge file</t>
  </si>
  <si>
    <t>Amount 0.001 passes review</t>
  </si>
  <si>
    <t xml:space="preserve">1. Upload EDGE_rows_to_observe.xlsx
2. Submit only the rows you want to observe</t>
  </si>
  <si>
    <t>EDGE_rows_to_observe.xlsx</t>
  </si>
  <si>
    <t>Review says valid; check what amount is saved (database keeps 2 decimals) and report</t>
  </si>
  <si>
    <t>ROW-046</t>
  </si>
  <si>
    <t>Remarks of 1001 characters</t>
  </si>
  <si>
    <t>1. Upload EDGE_rows_to_observe.xlsx</t>
  </si>
  <si>
    <t>Passes review; check what Submit does with a remark longer than the database column (1000) and report</t>
  </si>
  <si>
    <t>ROW-047</t>
  </si>
  <si>
    <t>Far future dates (31/12/2099)</t>
  </si>
  <si>
    <t>Accepted; dates display correctly</t>
  </si>
  <si>
    <t>INV-001</t>
  </si>
  <si>
    <t>List</t>
  </si>
  <si>
    <t>Columns</t>
  </si>
  <si>
    <t>Invoices exist</t>
  </si>
  <si>
    <t>1. Open Invoice List</t>
  </si>
  <si>
    <t>Invoice No, Date, Due Date, Customer (with site), Invoice Amount, Paid, Pending, Status, Action (eye)</t>
  </si>
  <si>
    <t>INV-002</t>
  </si>
  <si>
    <t>Tabs filter by status</t>
  </si>
  <si>
    <t>Invoices in every status</t>
  </si>
  <si>
    <t>1. Click All, Pending, Overdue, Partially Paid, Paid</t>
  </si>
  <si>
    <t>FIVE_STATUS_invoice_upload.xlsx</t>
  </si>
  <si>
    <t>Each tab lists only its status</t>
  </si>
  <si>
    <t>INV-003</t>
  </si>
  <si>
    <t>Search by invoice number or customer</t>
  </si>
  <si>
    <t xml:space="preserve">1. Type part of a number
2. Type part of a customer</t>
  </si>
  <si>
    <t>'BSPMPL', 'Cadabams'</t>
  </si>
  <si>
    <t>Matching rows only</t>
  </si>
  <si>
    <t>INV-004</t>
  </si>
  <si>
    <t>Customer, date and status filters</t>
  </si>
  <si>
    <t>1. Use each filter and combine them</t>
  </si>
  <si>
    <t>Rows satisfy every filter</t>
  </si>
  <si>
    <t>INV-005</t>
  </si>
  <si>
    <t>Paid column includes TDS</t>
  </si>
  <si>
    <t>Payment with TDS</t>
  </si>
  <si>
    <t>1. Pay cash 49,000 + TDS 1,000 on 50,000</t>
  </si>
  <si>
    <t>Paid shows 50,000; Pending 0</t>
  </si>
  <si>
    <t>INV-006</t>
  </si>
  <si>
    <t>Pagination</t>
  </si>
  <si>
    <t>More than 10 invoices</t>
  </si>
  <si>
    <t>1. Go through the pages</t>
  </si>
  <si>
    <t>10 per page; 'Showing x to y of z' correct</t>
  </si>
  <si>
    <t>INV-007</t>
  </si>
  <si>
    <t>Export to CSV</t>
  </si>
  <si>
    <t>Rows visible</t>
  </si>
  <si>
    <t>1. Click Export</t>
  </si>
  <si>
    <t>CSV of the filtered rows; button disabled when there are none</t>
  </si>
  <si>
    <t>INV-008</t>
  </si>
  <si>
    <t>Empty state and skeleton</t>
  </si>
  <si>
    <t>1. Open with no invoices / slow network</t>
  </si>
  <si>
    <t>'No invoices found'; pulsing rows while loading</t>
  </si>
  <si>
    <t>INV-009</t>
  </si>
  <si>
    <t>Only own-branch invoices</t>
  </si>
  <si>
    <t>1. Compare with the database</t>
  </si>
  <si>
    <t>No invoice of another branch's site</t>
  </si>
  <si>
    <t>INV-010</t>
  </si>
  <si>
    <t>Details</t>
  </si>
  <si>
    <t>Open an invoice (eye icon)</t>
  </si>
  <si>
    <t>1. Click the eye icon</t>
  </si>
  <si>
    <t>Details page with amounts, dates, customer, site</t>
  </si>
  <si>
    <t>INV-011</t>
  </si>
  <si>
    <t>Four amount tiles</t>
  </si>
  <si>
    <t>1. Read the tiles</t>
  </si>
  <si>
    <t>Invoice Amount, Paid Amount, Pending Amount, Due Date</t>
  </si>
  <si>
    <t>INV-012</t>
  </si>
  <si>
    <t>Remarks appear in Invoice Information</t>
  </si>
  <si>
    <t>Invoice with a remark</t>
  </si>
  <si>
    <t>1. Open the invoice</t>
  </si>
  <si>
    <t>Remarks line shows the text from the Excel file; '—' when empty</t>
  </si>
  <si>
    <t>INV-013</t>
  </si>
  <si>
    <t>Payment History has Cash and TDS columns</t>
  </si>
  <si>
    <t>Payment recorded</t>
  </si>
  <si>
    <t>Date, Cash, TDS, Mode, UTR No, Received By</t>
  </si>
  <si>
    <t>INV-014</t>
  </si>
  <si>
    <t>TDS Information card</t>
  </si>
  <si>
    <t>TDS customer</t>
  </si>
  <si>
    <t>Rate, Expected, Deducted, Pending TDS, status and TDS history (Current / Previous)</t>
  </si>
  <si>
    <t>INV-015</t>
  </si>
  <si>
    <t>Non-TDS customer</t>
  </si>
  <si>
    <t>Customer without TDS</t>
  </si>
  <si>
    <t>'TDS is not applicable for this invoice.'</t>
  </si>
  <si>
    <t>INV-016</t>
  </si>
  <si>
    <t>Record Payment button state</t>
  </si>
  <si>
    <t>1. Open a pending and a paid invoice</t>
  </si>
  <si>
    <t>Enabled when something is pending; disabled when paid or cancelled; opens Record Payment with the customer chosen</t>
  </si>
  <si>
    <t>INV-017</t>
  </si>
  <si>
    <t>Add Task</t>
  </si>
  <si>
    <t xml:space="preserve">1. Click Add Task
2. Fill and save</t>
  </si>
  <si>
    <t>Reminder saved; appears in Follow-up History</t>
  </si>
  <si>
    <t>INV-018</t>
  </si>
  <si>
    <t>Call Customer is disabled</t>
  </si>
  <si>
    <t>1. Point at Call Customer</t>
  </si>
  <si>
    <t>Disabled (no phone stored for customers)</t>
  </si>
  <si>
    <t>INV-019</t>
  </si>
  <si>
    <t>Unknown or other-branch invoice</t>
  </si>
  <si>
    <t>1. Open /accountant/invoices/&lt;random id&gt;</t>
  </si>
  <si>
    <t>Not found; nothing shown</t>
  </si>
  <si>
    <t>INV-020</t>
  </si>
  <si>
    <t>Breadcrumb</t>
  </si>
  <si>
    <t>1. Click 'Invoices' at the top</t>
  </si>
  <si>
    <t>Back to Invoice List</t>
  </si>
  <si>
    <t>STS-001</t>
  </si>
  <si>
    <t>Rules</t>
  </si>
  <si>
    <t>New invoice status</t>
  </si>
  <si>
    <t xml:space="preserve">1. Submit an upload
2. Check the database</t>
  </si>
  <si>
    <t>Every new invoice is stored PENDING with paid 0 and pending = amount (or OVERDUE if already late)</t>
  </si>
  <si>
    <t>STS-002</t>
  </si>
  <si>
    <t>Pending shown for a not-yet-due invoice</t>
  </si>
  <si>
    <t>Invoice with a future due date</t>
  </si>
  <si>
    <t>FIVE_STATUS_invoice_upload.xlsx (…/2898)</t>
  </si>
  <si>
    <t>Badge Pending; database PENDING</t>
  </si>
  <si>
    <t>STS-003</t>
  </si>
  <si>
    <t>Overdue shown for a late unpaid invoice</t>
  </si>
  <si>
    <t>Due date in the past</t>
  </si>
  <si>
    <t>FIVE_STATUS_invoice_upload.xlsx (…/040)</t>
  </si>
  <si>
    <t>Badge Overdue; database status OVERDUE (not PENDING)</t>
  </si>
  <si>
    <t>STS-004</t>
  </si>
  <si>
    <t>Partially Paid</t>
  </si>
  <si>
    <t>Future due date</t>
  </si>
  <si>
    <t>1. Pay part of the invoice (cash 5,000 on 12,980)</t>
  </si>
  <si>
    <t>FIVE_STATUS_invoice_upload.xlsx (…/05889)</t>
  </si>
  <si>
    <t>Status PARTIAL in the database and 'Partially Paid' on screen; pending 7,980</t>
  </si>
  <si>
    <t>STS-005</t>
  </si>
  <si>
    <t>Paid</t>
  </si>
  <si>
    <t>1. Pay the full amount (cash 10,499)</t>
  </si>
  <si>
    <t>FIVE_STATUS_invoice_upload.xlsx (…/1233)</t>
  </si>
  <si>
    <t>Status PAID; pending 0</t>
  </si>
  <si>
    <t>STS-006</t>
  </si>
  <si>
    <t>Cash plus TDS settles the invoice</t>
  </si>
  <si>
    <t>PAID; TDS status CLEARED</t>
  </si>
  <si>
    <t>STS-007</t>
  </si>
  <si>
    <t>Cancelled</t>
  </si>
  <si>
    <t>Unpaid invoice</t>
  </si>
  <si>
    <t>1. Cancel the invoice (see the note on the missing button)</t>
  </si>
  <si>
    <t>FIVE_STATUS_invoice_upload.xlsx (…/3456)</t>
  </si>
  <si>
    <t>Status CANCELLED; excluded from totals; cannot take payments</t>
  </si>
  <si>
    <t>STS-008</t>
  </si>
  <si>
    <t>Cancel an invoice that has a payment</t>
  </si>
  <si>
    <t>1. Call the cancel action</t>
  </si>
  <si>
    <t>'Cannot cancel an invoice that already has payments allocated to it'</t>
  </si>
  <si>
    <t>STS-009</t>
  </si>
  <si>
    <t>Cancel twice</t>
  </si>
  <si>
    <t>Already cancelled</t>
  </si>
  <si>
    <t>1. Cancel again</t>
  </si>
  <si>
    <t>'Invoice is already cancelled'</t>
  </si>
  <si>
    <t>STS-010</t>
  </si>
  <si>
    <t>Known gap</t>
  </si>
  <si>
    <t>No Cancel button in the accountant panel</t>
  </si>
  <si>
    <t>1. Open Invoice Details</t>
  </si>
  <si>
    <t>Only Record Payment, Add Task and Call Customer exist; cancelling needs an admin screen or a code change. Record the decision.</t>
  </si>
  <si>
    <t>STS-011</t>
  </si>
  <si>
    <t>Stored = shown</t>
  </si>
  <si>
    <t>Database status equals the screen</t>
  </si>
  <si>
    <t>1. Compare Invoice List with phpMyAdmin invoices.status</t>
  </si>
  <si>
    <t>Same status on both, for every invoice</t>
  </si>
  <si>
    <t>STS-012</t>
  </si>
  <si>
    <t>Sync</t>
  </si>
  <si>
    <t>Sync runs when the backend starts</t>
  </si>
  <si>
    <t>Late invoices stored as PENDING</t>
  </si>
  <si>
    <t xml:space="preserve">1. Restart the backend
2. Check the log and the table</t>
  </si>
  <si>
    <t>Log line 'Invoice status sync: n marked OVERDUE'; those invoices are OVERDUE</t>
  </si>
  <si>
    <t>STS-013</t>
  </si>
  <si>
    <t>Sync runs after Submit, payment, create and edit</t>
  </si>
  <si>
    <t xml:space="preserve">1. Submit an upload with past due dates
2. Pay part of a late invoice</t>
  </si>
  <si>
    <t>Late invoices are OVERDUE immediately; a part-paid late invoice stays OVERDUE</t>
  </si>
  <si>
    <t>STS-014</t>
  </si>
  <si>
    <t>Daily job at 00:05</t>
  </si>
  <si>
    <t>An invoice due today</t>
  </si>
  <si>
    <t>1. Wait until after midnight (or move the server date)</t>
  </si>
  <si>
    <t>It becomes OVERDUE the next day</t>
  </si>
  <si>
    <t>STS-015</t>
  </si>
  <si>
    <t>Extending a due date restores the status</t>
  </si>
  <si>
    <t>OVERDUE invoice</t>
  </si>
  <si>
    <t>1. Change its due date to a future date (admin/API)</t>
  </si>
  <si>
    <t>Back to PENDING (or PARTIAL if something was paid)</t>
  </si>
  <si>
    <t>STS-016</t>
  </si>
  <si>
    <t>PAID and CANCELLED are never touched</t>
  </si>
  <si>
    <t>1. Run the sync with paid and cancelled invoices</t>
  </si>
  <si>
    <t>Their status does not change</t>
  </si>
  <si>
    <t>STS-017</t>
  </si>
  <si>
    <t>Fully paying an OVERDUE invoice</t>
  </si>
  <si>
    <t>1. Pay the whole pending amount</t>
  </si>
  <si>
    <t>PAID</t>
  </si>
  <si>
    <t>STS-018</t>
  </si>
  <si>
    <t>Part-paying an OVERDUE invoice</t>
  </si>
  <si>
    <t>1. Pay part of it</t>
  </si>
  <si>
    <t>Stays OVERDUE (paid_amount shows what was paid)</t>
  </si>
  <si>
    <t>STS-019</t>
  </si>
  <si>
    <t>PAID never reopens</t>
  </si>
  <si>
    <t>PAID invoice with pending TDS</t>
  </si>
  <si>
    <t>1. Add previous TDS on a later payment</t>
  </si>
  <si>
    <t>Invoice stays PAID; only the TDS status changes</t>
  </si>
  <si>
    <t>STS-020</t>
  </si>
  <si>
    <t>Past-due Pending and Partial look Overdue</t>
  </si>
  <si>
    <t>Due date passed</t>
  </si>
  <si>
    <t>1. Look at Invoice List</t>
  </si>
  <si>
    <t>Shown as Overdue (to see Pending or Partially Paid, the due date must be in the future)</t>
  </si>
  <si>
    <t>STS-021</t>
  </si>
  <si>
    <t>Five invoices, five statuses</t>
  </si>
  <si>
    <t>Customers of the FIVE_STATUS file exist</t>
  </si>
  <si>
    <t xml:space="preserve">1. Upload and Submit FIVE_STATUS_invoice_upload.xlsx
2. Pay …/05889 5,000 and …/1233 10,499
3. Cancel …/3456</t>
  </si>
  <si>
    <t>Overdue, Partially Paid, Paid, Cancelled, Pending - one each; database matches</t>
  </si>
  <si>
    <t>OUT-001</t>
  </si>
  <si>
    <t>Outstanding</t>
  </si>
  <si>
    <t>Five summary tiles</t>
  </si>
  <si>
    <t>Unpaid invoices exist</t>
  </si>
  <si>
    <t>1. Open Outstanding</t>
  </si>
  <si>
    <t>Total Outstanding, Overdue Amount, Due This Week, Unpaid Invoices, Avg. Days Overdue</t>
  </si>
  <si>
    <t>OUT-002</t>
  </si>
  <si>
    <t>Only unpaid, non-cancelled invoices</t>
  </si>
  <si>
    <t>1. Compare with Invoice List</t>
  </si>
  <si>
    <t>PAID and CANCELLED invoices are absent; sorted most overdue first</t>
  </si>
  <si>
    <t>OUT-003</t>
  </si>
  <si>
    <t>Chips and their counts</t>
  </si>
  <si>
    <t>Invoices due at different times</t>
  </si>
  <si>
    <t>1. Click All Unpaid, Overdue, Due Today, Due This Week, Due This Month, No Follow-up Set</t>
  </si>
  <si>
    <t>Counts in brackets match the rows shown</t>
  </si>
  <si>
    <t>OUT-004</t>
  </si>
  <si>
    <t>Ageing and minimum pending filters</t>
  </si>
  <si>
    <t xml:space="preserve">1. Choose an ageing bucket
2. Type a minimum pending amount</t>
  </si>
  <si>
    <t>Rows narrow accordingly</t>
  </si>
  <si>
    <t>OUT-005</t>
  </si>
  <si>
    <t>Days overdue column</t>
  </si>
  <si>
    <t>Invoice due 30/05/2019</t>
  </si>
  <si>
    <t>1. Read the row</t>
  </si>
  <si>
    <t>Days late = today - due date</t>
  </si>
  <si>
    <t>OUT-006</t>
  </si>
  <si>
    <t>Follow-up column</t>
  </si>
  <si>
    <t>A reminder on an invoice</t>
  </si>
  <si>
    <t>Next follow-up date; 'No follow-up set' when none</t>
  </si>
  <si>
    <t>OUT-007</t>
  </si>
  <si>
    <t>Record payment and reminder icons</t>
  </si>
  <si>
    <t>1. Click each icon on a row</t>
  </si>
  <si>
    <t>Record Payment opens for the customer; reminder dialog opens</t>
  </si>
  <si>
    <t>OUT-008</t>
  </si>
  <si>
    <t>Bulk reminder</t>
  </si>
  <si>
    <t>3 rows ticked</t>
  </si>
  <si>
    <t>1. Click Add Reminder</t>
  </si>
  <si>
    <t>One task per invoice created</t>
  </si>
  <si>
    <t>OUT-009</t>
  </si>
  <si>
    <t>Export</t>
  </si>
  <si>
    <t>CSV of the filtered rows</t>
  </si>
  <si>
    <t>OUT-010</t>
  </si>
  <si>
    <t>Customer Outstanding</t>
  </si>
  <si>
    <t>Tiles and table (open by URL)</t>
  </si>
  <si>
    <t>1. Open /accountant/payments/customer-outstanding</t>
  </si>
  <si>
    <t>Total Outstanding, Customers With Dues, Overdue Amount, Avg. per Customer, Highest Outstanding; one row per customer with dues</t>
  </si>
  <si>
    <t>OUT-011</t>
  </si>
  <si>
    <t>Expand a customer</t>
  </si>
  <si>
    <t>1. Click the arrow on a row</t>
  </si>
  <si>
    <t>That customer's unpaid invoices listed</t>
  </si>
  <si>
    <t>OUT-012</t>
  </si>
  <si>
    <t>Payment Tracking</t>
  </si>
  <si>
    <t>Tiles (open by URL)</t>
  </si>
  <si>
    <t>1. Open /accountant/invoices/tracking</t>
  </si>
  <si>
    <t>Total Invoiced, Collected, Pending, Overdue, Collection Rate (%)</t>
  </si>
  <si>
    <t>OUT-013</t>
  </si>
  <si>
    <t>Filters and export</t>
  </si>
  <si>
    <t xml:space="preserve">1. Filter by status, customer, due-date range
2. Export</t>
  </si>
  <si>
    <t>Rows and CSV match the filters; CSV has Last Payment and Next Follow-up</t>
  </si>
  <si>
    <t>PAY-001</t>
  </si>
  <si>
    <t>Page structure</t>
  </si>
  <si>
    <t>1. Open Record Payment</t>
  </si>
  <si>
    <t>1 Select Customer, 2 Select Invoices, 3 Payment Details (side by side), 4 Payment Summary, 5 Recent Payments; no breadcrumb</t>
  </si>
  <si>
    <t>PAY-002</t>
  </si>
  <si>
    <t>Customer</t>
  </si>
  <si>
    <t>Customer stats box</t>
  </si>
  <si>
    <t>1. Choose a customer</t>
  </si>
  <si>
    <t>Bluewave Hotels Pvt Ltd</t>
  </si>
  <si>
    <t>Total Invoiced, Total Paid, Outstanding, Oldest Due, Total Invoices, Overdue Invoices match the invoices; cancelled ones excluded</t>
  </si>
  <si>
    <t>PAY-003</t>
  </si>
  <si>
    <t>TDS Applicable badge</t>
  </si>
  <si>
    <t>1. Choose a TDS customer, then a non-TDS one</t>
  </si>
  <si>
    <t>BWH01 vs SAO02</t>
  </si>
  <si>
    <t>Green 'TDS Applicable (2%)' badge only for the TDS customer</t>
  </si>
  <si>
    <t>PAY-004</t>
  </si>
  <si>
    <t>Customer list shows name and code</t>
  </si>
  <si>
    <t>1. Open the customer dropdown</t>
  </si>
  <si>
    <t>'Name (CODE)' when a code exists, otherwise just the name</t>
  </si>
  <si>
    <t>PAY-005</t>
  </si>
  <si>
    <t>Pre-selected from an invoice</t>
  </si>
  <si>
    <t>1. Invoice Details &gt; Record Payment</t>
  </si>
  <si>
    <t>Customer already chosen</t>
  </si>
  <si>
    <t>PAY-006</t>
  </si>
  <si>
    <t>Invoices</t>
  </si>
  <si>
    <t>Oldest first, only unpaid by default</t>
  </si>
  <si>
    <t>Unpaid invoices, oldest due first; 'Show fully paid invoices' adds the paid ones</t>
  </si>
  <si>
    <t>PAY-007</t>
  </si>
  <si>
    <t>TDS columns only for TDS customers</t>
  </si>
  <si>
    <t>TDS Rate, TDS Pending, TDS Amount, Total Allocation shown only for the TDS customer</t>
  </si>
  <si>
    <t>PAY-008</t>
  </si>
  <si>
    <t>Table fits on laptop screens</t>
  </si>
  <si>
    <t>TDS customer, 1366 px wide</t>
  </si>
  <si>
    <t>1. Look at the table</t>
  </si>
  <si>
    <t>Cash and TDS boxes visible without sideways scrolling (Invoice Date, TDS Rate, Total Allocation and Status are hidden at this width)</t>
  </si>
  <si>
    <t>PAY-009</t>
  </si>
  <si>
    <t>Inputs are disabled until the invoice is ticked</t>
  </si>
  <si>
    <t>1. Try typing in Cash Amount before ticking</t>
  </si>
  <si>
    <t>Boxes are greyed out; ticking the invoice enables them</t>
  </si>
  <si>
    <t>PAY-010</t>
  </si>
  <si>
    <t>Ticking suggests the amounts</t>
  </si>
  <si>
    <t>TDS customer, cash received typed</t>
  </si>
  <si>
    <t>1. Tick an invoice</t>
  </si>
  <si>
    <t>TDS = pending TDS; cash = what is left of the cash received (up to the pending amount)</t>
  </si>
  <si>
    <t>PAY-011</t>
  </si>
  <si>
    <t>Select all</t>
  </si>
  <si>
    <t>1. Tick the header checkbox</t>
  </si>
  <si>
    <t>All payable invoices ticked, cash spread oldest first</t>
  </si>
  <si>
    <t>PAY-012</t>
  </si>
  <si>
    <t>Add Previous TDS</t>
  </si>
  <si>
    <t>Button state when nothing qualifies</t>
  </si>
  <si>
    <t>TDS customer, no fully paid invoice with pending TDS</t>
  </si>
  <si>
    <t>1. Look at the button and hover it</t>
  </si>
  <si>
    <t>Disabled (grey); hint 'No earlier invoice has pending TDS'</t>
  </si>
  <si>
    <t>PAY-013</t>
  </si>
  <si>
    <t>Button disabled for a non-TDS customer</t>
  </si>
  <si>
    <t>1. Choose a non-TDS customer</t>
  </si>
  <si>
    <t>Disabled; hint 'TDS is not applicable for this customer'</t>
  </si>
  <si>
    <t>PAY-014</t>
  </si>
  <si>
    <t>Enabled once an invoice is fully paid without TDS</t>
  </si>
  <si>
    <t xml:space="preserve">1. Pay an invoice in full in cash with TDS 0
2. Open Record Payment again</t>
  </si>
  <si>
    <t>Lotus ALL-2026-031: cash 15,000, TDS 0</t>
  </si>
  <si>
    <t>Button turns blue; the dialog lists the invoice with its pending TDS (300)</t>
  </si>
  <si>
    <t>PAY-015</t>
  </si>
  <si>
    <t>Apply previous TDS</t>
  </si>
  <si>
    <t>Button enabled</t>
  </si>
  <si>
    <t xml:space="preserve">1. Open the dialog
2. Tick the invoice, keep 300
3. Apply
4. Add cash for another invoice of the same customer
5. Save</t>
  </si>
  <si>
    <t>TDS type PREVIOUS saved; the paid invoice stays PAID; its TDS becomes CLEARED</t>
  </si>
  <si>
    <t>PAY-016</t>
  </si>
  <si>
    <t>More than the pending TDS</t>
  </si>
  <si>
    <t>1. Enter 500 when 300 is pending</t>
  </si>
  <si>
    <t>Blocked in the dialog ('more than its pending TDS')</t>
  </si>
  <si>
    <t>PAY-017</t>
  </si>
  <si>
    <t>Previous TDS cannot be the only thing in a payment</t>
  </si>
  <si>
    <t xml:space="preserve">1. Apply only previous TDS with Cash Received 0
2. Save</t>
  </si>
  <si>
    <t>'Please enter the cash received.'</t>
  </si>
  <si>
    <t>PAY-018</t>
  </si>
  <si>
    <t>Payment details</t>
  </si>
  <si>
    <t>Fields and labels</t>
  </si>
  <si>
    <t>1. Look at section 3</t>
  </si>
  <si>
    <t>Payment Date, Payment Mode, UTR No (placeholder 'Enter UTR number'), Cash Received, Remarks; Cancel and Save Payment</t>
  </si>
  <si>
    <t>PAY-019</t>
  </si>
  <si>
    <t>UTR No label everywhere</t>
  </si>
  <si>
    <t>1. Check the form and the Recent Payments table</t>
  </si>
  <si>
    <t>'UTR No' (no 'Reference No')</t>
  </si>
  <si>
    <t>PAY-020</t>
  </si>
  <si>
    <t>Payment modes</t>
  </si>
  <si>
    <t>1. Save one payment per mode</t>
  </si>
  <si>
    <t>Cash, UPI, Bank Transfer, NEFT, Cheque, Card, Other</t>
  </si>
  <si>
    <t>Each saved and shown with its label</t>
  </si>
  <si>
    <t>PAY-021</t>
  </si>
  <si>
    <t>Payment date defaults to today</t>
  </si>
  <si>
    <t>Today's date; can be changed</t>
  </si>
  <si>
    <t>PAY-022</t>
  </si>
  <si>
    <t>Save</t>
  </si>
  <si>
    <t>Full cash payment</t>
  </si>
  <si>
    <t xml:space="preserve">1. Cash received 10,499
2. Tick the invoice
3. Save Payment</t>
  </si>
  <si>
    <t>Opens Payment List with the new payment; invoice PAID; pending 0</t>
  </si>
  <si>
    <t>PAY-023</t>
  </si>
  <si>
    <t>Partial payment</t>
  </si>
  <si>
    <t>1. Cash 5,000 on 12,980</t>
  </si>
  <si>
    <t>PARTIAL; pending 7,980</t>
  </si>
  <si>
    <t>PAY-024</t>
  </si>
  <si>
    <t>One payment for several invoices</t>
  </si>
  <si>
    <t>3 invoices of one customer</t>
  </si>
  <si>
    <t xml:space="preserve">1. Tick all three
2. Enter cash and TDS for each
3. Save</t>
  </si>
  <si>
    <t>ALL_CASES payment P09</t>
  </si>
  <si>
    <t>One payment, three allocations; each invoice updated</t>
  </si>
  <si>
    <t>PAY-025</t>
  </si>
  <si>
    <t>Advance / unallocated cash</t>
  </si>
  <si>
    <t>1. Cash received 20,000, allocate 14,700 + TDS 300</t>
  </si>
  <si>
    <t>ALL_CASES payment P10</t>
  </si>
  <si>
    <t>Payment List shows 5,300 unallocated</t>
  </si>
  <si>
    <t>PAY-026</t>
  </si>
  <si>
    <t>Rounding</t>
  </si>
  <si>
    <t>1. Cash 32,666.34 + TDS 666.66 on 33,333</t>
  </si>
  <si>
    <t>ALL_CASES payment P12</t>
  </si>
  <si>
    <t>Invoice PAID exactly; totals to 2 decimals</t>
  </si>
  <si>
    <t>PAY-027</t>
  </si>
  <si>
    <t>Double click on Save</t>
  </si>
  <si>
    <t>1. Double-click Save Payment</t>
  </si>
  <si>
    <t>One payment only ('Saving…', button disabled)</t>
  </si>
  <si>
    <t>PAY-028</t>
  </si>
  <si>
    <t>Cancel</t>
  </si>
  <si>
    <t xml:space="preserve">1. Fill the form
2. Cancel</t>
  </si>
  <si>
    <t>Back to Payment List; nothing saved</t>
  </si>
  <si>
    <t>PAY-029</t>
  </si>
  <si>
    <t>Summary</t>
  </si>
  <si>
    <t>Four tiles</t>
  </si>
  <si>
    <t>Invoices allocated</t>
  </si>
  <si>
    <t>1. Read Payment Summary</t>
  </si>
  <si>
    <t>Cash Received, Total TDS Deducted, Total Settlement (cash allocated + TDS), Invoices Allocated</t>
  </si>
  <si>
    <t>PAY-030</t>
  </si>
  <si>
    <t>Recent</t>
  </si>
  <si>
    <t>Recent Payments for this customer</t>
  </si>
  <si>
    <t>Last 5 payments with date, UTR No, cash, TDS, mode, allocated, remarks, created by</t>
  </si>
  <si>
    <t>PAY-031</t>
  </si>
  <si>
    <t>No customer</t>
  </si>
  <si>
    <t>1. Click Save without a customer</t>
  </si>
  <si>
    <t>'Please select a customer.'</t>
  </si>
  <si>
    <t>PAY-032</t>
  </si>
  <si>
    <t>Cash received empty or 0</t>
  </si>
  <si>
    <t>1. Save with 0</t>
  </si>
  <si>
    <t>PAY-033</t>
  </si>
  <si>
    <t>No invoice ticked</t>
  </si>
  <si>
    <t>1. Enter cash, tick nothing, Save</t>
  </si>
  <si>
    <t>'Tick at least one invoice and enter an amount.'</t>
  </si>
  <si>
    <t>PAY-034</t>
  </si>
  <si>
    <t>Cash allocated more than cash received</t>
  </si>
  <si>
    <t>1. Received 10,000, allocate 12,000</t>
  </si>
  <si>
    <t>'The cash allocated is more than the cash received.'</t>
  </si>
  <si>
    <t>PAY-035</t>
  </si>
  <si>
    <t>Cash plus TDS more than the pending amount</t>
  </si>
  <si>
    <t>Pending 30,000</t>
  </si>
  <si>
    <t>1. Cash 29,500 + TDS 600</t>
  </si>
  <si>
    <t>'Cash plus TDS for &lt;invoice&gt; is more than its pending amount.'</t>
  </si>
  <si>
    <t>PAY-036</t>
  </si>
  <si>
    <t>Cash on a fully paid invoice</t>
  </si>
  <si>
    <t>Paid invoice with pending TDS</t>
  </si>
  <si>
    <t>1. Enter cash on it</t>
  </si>
  <si>
    <t>'&lt;invoice&gt; is already paid. Only TDS can be added to it.'</t>
  </si>
  <si>
    <t>PAY-037</t>
  </si>
  <si>
    <t>TDS for a non-TDS customer</t>
  </si>
  <si>
    <t>1. Send TDS through the API</t>
  </si>
  <si>
    <t>'TDS is not applicable for invoice …' (the box is disabled on screen)</t>
  </si>
  <si>
    <t>PAY-038</t>
  </si>
  <si>
    <t>Negative amounts</t>
  </si>
  <si>
    <t>1. Type -100</t>
  </si>
  <si>
    <t>'Amounts cannot be negative.'</t>
  </si>
  <si>
    <t>PAY-039</t>
  </si>
  <si>
    <t>Same invoice twice (API)</t>
  </si>
  <si>
    <t>1. Send the same invoice id twice</t>
  </si>
  <si>
    <t>'The same invoice appears more than once'</t>
  </si>
  <si>
    <t>PAY-040</t>
  </si>
  <si>
    <t>Another branch's customer</t>
  </si>
  <si>
    <t>1. POST a payment for a customer of branch abc</t>
  </si>
  <si>
    <t>403 'Cannot record a payment for another branch's customer'</t>
  </si>
  <si>
    <t>PAY-041</t>
  </si>
  <si>
    <t>Concurrent payments on one invoice</t>
  </si>
  <si>
    <t>Pending 10,000</t>
  </si>
  <si>
    <t>1. Two users each pay 10,000 at once</t>
  </si>
  <si>
    <t>Only one fully succeeds; the invoice is never over-paid</t>
  </si>
  <si>
    <t>PAY-042</t>
  </si>
  <si>
    <t>Save error message</t>
  </si>
  <si>
    <t>1. Click Save Payment</t>
  </si>
  <si>
    <t>Red message in the form; nothing lost; can retry</t>
  </si>
  <si>
    <t>PLS-001</t>
  </si>
  <si>
    <t>Columns and status</t>
  </si>
  <si>
    <t>1. Open Payment List</t>
  </si>
  <si>
    <t>Payment No, Date, Customer, Mode, UTR No, Received, Allocated, Unallocated, Status (Posted), Created By</t>
  </si>
  <si>
    <t>PLS-002</t>
  </si>
  <si>
    <t>Only cash is shown (TDS is not)</t>
  </si>
  <si>
    <t>1. Read the row and expand it</t>
  </si>
  <si>
    <t>cash 12,000 + TDS 2,600</t>
  </si>
  <si>
    <t>Received and Allocated show cash only; the expanded box shows cash per invoice; TDS is on the invoice details page. Record as a gap if TDS must show here.</t>
  </si>
  <si>
    <t>PLS-003</t>
  </si>
  <si>
    <t>Five tiles</t>
  </si>
  <si>
    <t>1. Compare the tiles with the table</t>
  </si>
  <si>
    <t>Total Received, Received This Month, Payments, Unallocated (Advance), Cancelled</t>
  </si>
  <si>
    <t>PLS-004</t>
  </si>
  <si>
    <t>Filters and search</t>
  </si>
  <si>
    <t xml:space="preserve">1. Search payment no / customer / UTR
2. Filter by customer, mode, status, dates</t>
  </si>
  <si>
    <t>Matching rows only; the total row updates</t>
  </si>
  <si>
    <t>PLS-005</t>
  </si>
  <si>
    <t>Expand a payment</t>
  </si>
  <si>
    <t>1. Click the arrow</t>
  </si>
  <si>
    <t>'Allocated to invoices' with invoice links and remarks</t>
  </si>
  <si>
    <t>PLS-006</t>
  </si>
  <si>
    <t>Invoice link opens the invoice</t>
  </si>
  <si>
    <t>1. Click an invoice number in the expanded box</t>
  </si>
  <si>
    <t>Invoice Details opens</t>
  </si>
  <si>
    <t>PLS-007</t>
  </si>
  <si>
    <t>Pagination and export</t>
  </si>
  <si>
    <t xml:space="preserve">1. Page through
2. Export</t>
  </si>
  <si>
    <t>10 per page; CSV of the filtered rows</t>
  </si>
  <si>
    <t>PLS-008</t>
  </si>
  <si>
    <t>Total row excludes cancelled payments</t>
  </si>
  <si>
    <t>1. Read the footer</t>
  </si>
  <si>
    <t>'Total for all n rows shown (cancelled payments excluded)'</t>
  </si>
  <si>
    <t>PLS-009</t>
  </si>
  <si>
    <t>Empty and loading states</t>
  </si>
  <si>
    <t>1. Open with no payments / slow network</t>
  </si>
  <si>
    <t>'No payments found'; placeholder rows while loading</t>
  </si>
  <si>
    <t>PLS-010</t>
  </si>
  <si>
    <t>Database</t>
  </si>
  <si>
    <t>Payment rows written correctly</t>
  </si>
  <si>
    <t>After a payment with TDS</t>
  </si>
  <si>
    <t>1. Check payments, payment_allocations and tds_transactions</t>
  </si>
  <si>
    <t>1 payment (cash + TDS total), one allocation per invoice, one tds_transactions row per TDS line (CURRENT or PREVIOUS)</t>
  </si>
  <si>
    <t>TDS-001</t>
  </si>
  <si>
    <t>TDS item in the sidebar</t>
  </si>
  <si>
    <t>'TDS' with a percent icon (opens /accountant/settings)</t>
  </si>
  <si>
    <t>TDS-002</t>
  </si>
  <si>
    <t>Page</t>
  </si>
  <si>
    <t>Customer list</t>
  </si>
  <si>
    <t>Customers exist</t>
  </si>
  <si>
    <t>1. Open TDS</t>
  </si>
  <si>
    <t>Customer, TDS Applicable, TDS Rate, Pending TDS, Edit</t>
  </si>
  <si>
    <t>TDS-003</t>
  </si>
  <si>
    <t>Pending TDS per customer</t>
  </si>
  <si>
    <t>Invoices with TDS pending</t>
  </si>
  <si>
    <t>1. Compare with the invoices</t>
  </si>
  <si>
    <t>Sum of pending TDS of the customer's non-cancelled invoices; '—' for customers without TDS</t>
  </si>
  <si>
    <t>TDS-004</t>
  </si>
  <si>
    <t>Search</t>
  </si>
  <si>
    <t>1. Type part of a name or code</t>
  </si>
  <si>
    <t>List filters as you type</t>
  </si>
  <si>
    <t>TDS-005</t>
  </si>
  <si>
    <t>Edit</t>
  </si>
  <si>
    <t>Turn TDS on with 2%</t>
  </si>
  <si>
    <t xml:space="preserve">1. Edit a customer
2. Tick TDS applicable
3. Rate 2
4. Save</t>
  </si>
  <si>
    <t>Saved; list shows Yes and 2%</t>
  </si>
  <si>
    <t>TDS-006</t>
  </si>
  <si>
    <t>Turn TDS off</t>
  </si>
  <si>
    <t xml:space="preserve">1. Untick TDS applicable
2. Save</t>
  </si>
  <si>
    <t>Shown as No; rate cleared</t>
  </si>
  <si>
    <t>TDS-007</t>
  </si>
  <si>
    <t>Rate boundaries</t>
  </si>
  <si>
    <t>1. Try 0, 0.01, 2, 100, 100.01, -1, abc, blank</t>
  </si>
  <si>
    <t>0, blank, 100.01, -1 and abc are rejected ('Enter a TDS rate between 0 and 100'); 0.01, 2 and 100 are accepted</t>
  </si>
  <si>
    <t>TDS-008</t>
  </si>
  <si>
    <t>Only 2% is used in this business</t>
  </si>
  <si>
    <t>1. Check every customer's rate</t>
  </si>
  <si>
    <t>All TDS customers are 2%; the app itself allows 0-100, so confirm nothing else is set</t>
  </si>
  <si>
    <t>TDS-009</t>
  </si>
  <si>
    <t>Apply to existing invoices</t>
  </si>
  <si>
    <t>Invoices with and without deducted TDS</t>
  </si>
  <si>
    <t xml:space="preserve">1. Change the setting
2. Tick 'apply to existing'
3. Save</t>
  </si>
  <si>
    <t>Message shows how many invoices changed; only invoices with no TDS deducted yet change</t>
  </si>
  <si>
    <t>TDS-010</t>
  </si>
  <si>
    <t>Change is not retroactive</t>
  </si>
  <si>
    <t xml:space="preserve">1. Turn TDS off without 'apply to existing'
2. Open an old invoice</t>
  </si>
  <si>
    <t>Old invoice keeps its 2% TDS; new invoices have none</t>
  </si>
  <si>
    <t>TDS-011</t>
  </si>
  <si>
    <t>Snapshot</t>
  </si>
  <si>
    <t>TDS copied at Submit</t>
  </si>
  <si>
    <t>TDS set before upload</t>
  </si>
  <si>
    <t xml:space="preserve">1. Submit an upload
2. Open an invoice</t>
  </si>
  <si>
    <t>invoice_tds row: rate 2, expected = amount x 2% (2 decimals), pending = expected, status PENDING</t>
  </si>
  <si>
    <t>TDS-012</t>
  </si>
  <si>
    <t>TDS not set before upload</t>
  </si>
  <si>
    <t>1. Submit an upload for it</t>
  </si>
  <si>
    <t>invoice_tds NOT_APPLICABLE; turning TDS on later does not change those invoices unless 'apply to existing' is used</t>
  </si>
  <si>
    <t>TDS-013</t>
  </si>
  <si>
    <t>Statuses</t>
  </si>
  <si>
    <t>TDS status after payments (₹50,000 invoice)</t>
  </si>
  <si>
    <t>1. Pay: nothing / cash 20,000 / cash 49,000 + TDS 500 / cash 49,000 + TDS 1,000</t>
  </si>
  <si>
    <t>PENDING / PENDING / PARTIAL / CLEARED</t>
  </si>
  <si>
    <t>TDS-014</t>
  </si>
  <si>
    <t>Invoice PAID while TDS PENDING</t>
  </si>
  <si>
    <t>1. Pay 50,000 cash with TDS 0</t>
  </si>
  <si>
    <t>Invoice PAID; TDS PENDING (1,000)</t>
  </si>
  <si>
    <t>TDS-015</t>
  </si>
  <si>
    <t>Invoice PARTIAL while TDS CLEARED</t>
  </si>
  <si>
    <t>1. Cash 5,000 + TDS 200 on a 10,000 invoice (2% = 200)</t>
  </si>
  <si>
    <t>Invoice PARTIAL; TDS CLEARED</t>
  </si>
  <si>
    <t>TDS-016</t>
  </si>
  <si>
    <t>Odd amounts</t>
  </si>
  <si>
    <t>1. Check expected TDS for 33,333 / 45,678.90 / 1,234.56 / 8,750.80</t>
  </si>
  <si>
    <t>666.66 / 913.58 / 24.69 / 175.02</t>
  </si>
  <si>
    <t>TDS-017</t>
  </si>
  <si>
    <t>TDS more than pending TDS on a paid invoice</t>
  </si>
  <si>
    <t>1. Try previous TDS above the pending amount</t>
  </si>
  <si>
    <t>'The TDS for &lt;invoice&gt; is more than its pending TDS.'</t>
  </si>
  <si>
    <t>TDS-018</t>
  </si>
  <si>
    <t>Other-branch customer</t>
  </si>
  <si>
    <t>1. PUT tds-settings for a customer of branch abc</t>
  </si>
  <si>
    <t>Not found / forbidden</t>
  </si>
  <si>
    <t>TDS-019</t>
  </si>
  <si>
    <t>Settings stored on the customer</t>
  </si>
  <si>
    <t>1. Check companies.tds_applicable and tds_rate after saving</t>
  </si>
  <si>
    <t>Values match what the page shows</t>
  </si>
  <si>
    <t>TSK-001</t>
  </si>
  <si>
    <t>Create</t>
  </si>
  <si>
    <t>Add a reminder from an invoice</t>
  </si>
  <si>
    <t xml:space="preserve">1. Invoice Details &gt; Add Task
2. Choose type, date, time, priority, notes
3. Save</t>
  </si>
  <si>
    <t>Task created; shown in Follow-up History and Tasks &amp; Reminders</t>
  </si>
  <si>
    <t>TSK-002</t>
  </si>
  <si>
    <t>Task types and priorities</t>
  </si>
  <si>
    <t>1. Create tasks of each type and priority</t>
  </si>
  <si>
    <t>Payment Follow-up, Call Customer, Send Invoice, Send Reminder, Other; Low, Normal, High</t>
  </si>
  <si>
    <t>Each saved as chosen</t>
  </si>
  <si>
    <t>TSK-003</t>
  </si>
  <si>
    <t>Reminder without a date</t>
  </si>
  <si>
    <t>1. Save with no date</t>
  </si>
  <si>
    <t>Saved without a due date, or a clear message</t>
  </si>
  <si>
    <t>TSK-004</t>
  </si>
  <si>
    <t>Reminder for several invoices</t>
  </si>
  <si>
    <t>3 rows ticked on Outstanding</t>
  </si>
  <si>
    <t>1. Add Reminder</t>
  </si>
  <si>
    <t>One task per invoice</t>
  </si>
  <si>
    <t>TSK-005</t>
  </si>
  <si>
    <t>Status Today / Upcoming / Overdue / Completed</t>
  </si>
  <si>
    <t>Tasks with several dates</t>
  </si>
  <si>
    <t>1. Open Tasks &amp; Reminders</t>
  </si>
  <si>
    <t>Badge matches the due date and completion</t>
  </si>
  <si>
    <t>TSK-006</t>
  </si>
  <si>
    <t xml:space="preserve">1. Filter by status and type
2. Search</t>
  </si>
  <si>
    <t>TSK-007</t>
  </si>
  <si>
    <t>Complete</t>
  </si>
  <si>
    <t>Mark a task complete</t>
  </si>
  <si>
    <t>Open task</t>
  </si>
  <si>
    <t>1. Click complete</t>
  </si>
  <si>
    <t>COMPLETED with a completed date; shows as last action on Outstanding</t>
  </si>
  <si>
    <t>TSK-008</t>
  </si>
  <si>
    <t>Follow-up</t>
  </si>
  <si>
    <t>Next follow-up on Outstanding</t>
  </si>
  <si>
    <t>Earliest open task date; 'No follow-up set' otherwise</t>
  </si>
  <si>
    <t>TSK-009</t>
  </si>
  <si>
    <t>Reminders on the dashboard</t>
  </si>
  <si>
    <t>Upcoming reminders table and Today's Follow-ups tile match</t>
  </si>
  <si>
    <t>TSK-010</t>
  </si>
  <si>
    <t>Scoping</t>
  </si>
  <si>
    <t>Tasks of other branches</t>
  </si>
  <si>
    <t>1. Call the tasks API for another branch</t>
  </si>
  <si>
    <t>Not visible</t>
  </si>
  <si>
    <t>TSK-011</t>
  </si>
  <si>
    <t>Unknown task</t>
  </si>
  <si>
    <t>1. Complete a random task id</t>
  </si>
  <si>
    <t>'Task not found'</t>
  </si>
  <si>
    <t>UIX-001</t>
  </si>
  <si>
    <t>Header on top, sidebar below</t>
  </si>
  <si>
    <t>Laptop</t>
  </si>
  <si>
    <t>1. Open any page</t>
  </si>
  <si>
    <t>Full-width header with logo, 'Accountant Panel', bell and user icon; white sidebar with black text below it</t>
  </si>
  <si>
    <t>UIX-002</t>
  </si>
  <si>
    <t>Loading skeletons</t>
  </si>
  <si>
    <t>1. Open Invoice List, Outstanding, Payment List</t>
  </si>
  <si>
    <t>Pulsing placeholder rows and tiles, then data</t>
  </si>
  <si>
    <t>UIX-003</t>
  </si>
  <si>
    <t>Icons</t>
  </si>
  <si>
    <t>1. Visit each page</t>
  </si>
  <si>
    <t>Icons on headings, tabs, chips, tiles, buttons and search boxes; nothing overlapping</t>
  </si>
  <si>
    <t>UIX-004</t>
  </si>
  <si>
    <t>Date boxes use dd/mm/yyyy</t>
  </si>
  <si>
    <t>1. Use the dashboard date boxes</t>
  </si>
  <si>
    <t>Typing digits adds slashes; calendar icon opens the picker</t>
  </si>
  <si>
    <t>UIX-005</t>
  </si>
  <si>
    <t>Empty states</t>
  </si>
  <si>
    <t>New branch</t>
  </si>
  <si>
    <t>1. Open every list</t>
  </si>
  <si>
    <t>Clear 'No … found' messages; no stuck loading</t>
  </si>
  <si>
    <t>UIX-006</t>
  </si>
  <si>
    <t>Dashboard at phone 390 x 700</t>
  </si>
  <si>
    <t>Window 390px wide</t>
  </si>
  <si>
    <t xml:space="preserve">1. Open /accountant
2. Scroll the whole page
3. Open any dialog or menu</t>
  </si>
  <si>
    <t>390px</t>
  </si>
  <si>
    <t>No sideways page scroll; tables become cards with labels; buttons reachable; Submit / Save visible without scrolling under the taskbar</t>
  </si>
  <si>
    <t>UIX-007</t>
  </si>
  <si>
    <t>Dashboard at tablet 768 x 1024</t>
  </si>
  <si>
    <t>Window 768px wide</t>
  </si>
  <si>
    <t>768px</t>
  </si>
  <si>
    <t>No sideways page scroll; wide tables scroll inside their own box; menu becomes a Menu button</t>
  </si>
  <si>
    <t>UIX-008</t>
  </si>
  <si>
    <t>Dashboard at laptop 1366 x 768</t>
  </si>
  <si>
    <t>Window 1366px wide</t>
  </si>
  <si>
    <t>1366px</t>
  </si>
  <si>
    <t>Full layout; no overlapping or cut-off text</t>
  </si>
  <si>
    <t>UIX-009</t>
  </si>
  <si>
    <t>Dashboard at large screen 1920 x 1080</t>
  </si>
  <si>
    <t>Window 1920px wide</t>
  </si>
  <si>
    <t>1920px</t>
  </si>
  <si>
    <t>UIX-010</t>
  </si>
  <si>
    <t>Invoice Upload at phone 390 x 700</t>
  </si>
  <si>
    <t xml:space="preserve">1. Open /accountant/invoices/upload
2. Scroll the whole page
3. Open any dialog or menu</t>
  </si>
  <si>
    <t>UIX-011</t>
  </si>
  <si>
    <t>Invoice Upload at tablet 768 x 1024</t>
  </si>
  <si>
    <t>UIX-012</t>
  </si>
  <si>
    <t>Invoice Upload at laptop 1366 x 768</t>
  </si>
  <si>
    <t>UIX-013</t>
  </si>
  <si>
    <t>Invoice Upload at large screen 1920 x 1080</t>
  </si>
  <si>
    <t>UIX-014</t>
  </si>
  <si>
    <t>Review &amp; Validate at phone 390 x 700</t>
  </si>
  <si>
    <t xml:space="preserve">1. Open /accountant/invoices/review
2. Scroll the whole page
3. Open any dialog or menu</t>
  </si>
  <si>
    <t>UIX-015</t>
  </si>
  <si>
    <t>Review &amp; Validate at tablet 768 x 1024</t>
  </si>
  <si>
    <t>UIX-016</t>
  </si>
  <si>
    <t>Review &amp; Validate at laptop 1366 x 768</t>
  </si>
  <si>
    <t>UIX-017</t>
  </si>
  <si>
    <t>Review &amp; Validate at large screen 1920 x 1080</t>
  </si>
  <si>
    <t>UIX-018</t>
  </si>
  <si>
    <t>Invoice List at phone 390 x 700</t>
  </si>
  <si>
    <t xml:space="preserve">1. Open /accountant/invoices/list
2. Scroll the whole page
3. Open any dialog or menu</t>
  </si>
  <si>
    <t>UIX-019</t>
  </si>
  <si>
    <t>Invoice List at tablet 768 x 1024</t>
  </si>
  <si>
    <t>UIX-020</t>
  </si>
  <si>
    <t>Invoice List at laptop 1366 x 768</t>
  </si>
  <si>
    <t>UIX-021</t>
  </si>
  <si>
    <t>Invoice List at large screen 1920 x 1080</t>
  </si>
  <si>
    <t>UIX-022</t>
  </si>
  <si>
    <t>Invoice Details at phone 390 x 700</t>
  </si>
  <si>
    <t xml:space="preserve">1. Open /accountant/invoices/&lt;id&gt;
2. Scroll the whole page
3. Open any dialog or menu</t>
  </si>
  <si>
    <t>UIX-023</t>
  </si>
  <si>
    <t>Invoice Details at tablet 768 x 1024</t>
  </si>
  <si>
    <t>UIX-024</t>
  </si>
  <si>
    <t>Invoice Details at laptop 1366 x 768</t>
  </si>
  <si>
    <t>UIX-025</t>
  </si>
  <si>
    <t>Invoice Details at large screen 1920 x 1080</t>
  </si>
  <si>
    <t>UIX-026</t>
  </si>
  <si>
    <t>Outstanding at phone 390 x 700</t>
  </si>
  <si>
    <t xml:space="preserve">1. Open /accountant/invoices/outstanding
2. Scroll the whole page
3. Open any dialog or menu</t>
  </si>
  <si>
    <t>UIX-027</t>
  </si>
  <si>
    <t>Outstanding at tablet 768 x 1024</t>
  </si>
  <si>
    <t>UIX-028</t>
  </si>
  <si>
    <t>Outstanding at laptop 1366 x 768</t>
  </si>
  <si>
    <t>UIX-029</t>
  </si>
  <si>
    <t>Outstanding at large screen 1920 x 1080</t>
  </si>
  <si>
    <t>UIX-030</t>
  </si>
  <si>
    <t>Payment Tracking at phone 390 x 700</t>
  </si>
  <si>
    <t xml:space="preserve">1. Open /accountant/invoices/tracking
2. Scroll the whole page
3. Open any dialog or menu</t>
  </si>
  <si>
    <t>UIX-031</t>
  </si>
  <si>
    <t>Payment Tracking at tablet 768 x 1024</t>
  </si>
  <si>
    <t>UIX-032</t>
  </si>
  <si>
    <t>Payment Tracking at laptop 1366 x 768</t>
  </si>
  <si>
    <t>UIX-033</t>
  </si>
  <si>
    <t>Payment Tracking at large screen 1920 x 1080</t>
  </si>
  <si>
    <t>UIX-034</t>
  </si>
  <si>
    <t>Payment List at phone 390 x 700</t>
  </si>
  <si>
    <t xml:space="preserve">1. Open /accountant/payments/list
2. Scroll the whole page
3. Open any dialog or menu</t>
  </si>
  <si>
    <t>UIX-035</t>
  </si>
  <si>
    <t>Payment List at tablet 768 x 1024</t>
  </si>
  <si>
    <t>UIX-036</t>
  </si>
  <si>
    <t>Payment List at laptop 1366 x 768</t>
  </si>
  <si>
    <t>UIX-037</t>
  </si>
  <si>
    <t>Payment List at large screen 1920 x 1080</t>
  </si>
  <si>
    <t>UIX-038</t>
  </si>
  <si>
    <t>Record Payment (TDS customer, invoice ticked) at phone 390 x 700</t>
  </si>
  <si>
    <t xml:space="preserve">1. Open /accountant/payments/record
2. Scroll the whole page
3. Open any dialog or menu</t>
  </si>
  <si>
    <t>UIX-039</t>
  </si>
  <si>
    <t>Record Payment (TDS customer, invoice ticked) at tablet 768 x 1024</t>
  </si>
  <si>
    <t>UIX-040</t>
  </si>
  <si>
    <t>Record Payment (TDS customer, invoice ticked) at laptop 1366 x 768</t>
  </si>
  <si>
    <t>UIX-041</t>
  </si>
  <si>
    <t>Record Payment (TDS customer, invoice ticked) at large screen 1920 x 1080</t>
  </si>
  <si>
    <t>UIX-042</t>
  </si>
  <si>
    <t>Customer Outstanding at phone 390 x 700</t>
  </si>
  <si>
    <t xml:space="preserve">1. Open /accountant/payments/customer-outstanding
2. Scroll the whole page
3. Open any dialog or menu</t>
  </si>
  <si>
    <t>UIX-043</t>
  </si>
  <si>
    <t>Customer Outstanding at tablet 768 x 1024</t>
  </si>
  <si>
    <t>UIX-044</t>
  </si>
  <si>
    <t>Customer Outstanding at laptop 1366 x 768</t>
  </si>
  <si>
    <t>UIX-045</t>
  </si>
  <si>
    <t>Customer Outstanding at large screen 1920 x 1080</t>
  </si>
  <si>
    <t>UIX-046</t>
  </si>
  <si>
    <t>Tasks &amp; Reminders at phone 390 x 700</t>
  </si>
  <si>
    <t xml:space="preserve">1. Open /accountant/tasks
2. Scroll the whole page
3. Open any dialog or menu</t>
  </si>
  <si>
    <t>UIX-047</t>
  </si>
  <si>
    <t>Tasks &amp; Reminders at tablet 768 x 1024</t>
  </si>
  <si>
    <t>UIX-048</t>
  </si>
  <si>
    <t>Tasks &amp; Reminders at laptop 1366 x 768</t>
  </si>
  <si>
    <t>UIX-049</t>
  </si>
  <si>
    <t>Tasks &amp; Reminders at large screen 1920 x 1080</t>
  </si>
  <si>
    <t>UIX-050</t>
  </si>
  <si>
    <t>TDS at phone 390 x 700</t>
  </si>
  <si>
    <t xml:space="preserve">1. Open /accountant/settings
2. Scroll the whole page
3. Open any dialog or menu</t>
  </si>
  <si>
    <t>UIX-051</t>
  </si>
  <si>
    <t>TDS at tablet 768 x 1024</t>
  </si>
  <si>
    <t>UIX-052</t>
  </si>
  <si>
    <t>TDS at laptop 1366 x 768</t>
  </si>
  <si>
    <t>UIX-053</t>
  </si>
  <si>
    <t>TDS at large screen 1920 x 1080</t>
  </si>
  <si>
    <t>UIX-054</t>
  </si>
  <si>
    <t>Sidebar and header at every width</t>
  </si>
  <si>
    <t>1. Resize from 1920 to 360</t>
  </si>
  <si>
    <t>Sidebar above 768 px; below it a Menu button opens the same menu</t>
  </si>
  <si>
    <t>UIX-055</t>
  </si>
  <si>
    <t>On-screen keyboard on a phone</t>
  </si>
  <si>
    <t>Phone</t>
  </si>
  <si>
    <t>1. Tap the Cash Received box</t>
  </si>
  <si>
    <t>Field scrolls into view; Save Payment reachable</t>
  </si>
  <si>
    <t>UIX-056</t>
  </si>
  <si>
    <t>Window taller than the visible screen (taskbar)</t>
  </si>
  <si>
    <t>Window partly under the Windows taskbar</t>
  </si>
  <si>
    <t>Submit is in the header, so it is never hidden</t>
  </si>
  <si>
    <t>UIX-057</t>
  </si>
  <si>
    <t>Keyboard use</t>
  </si>
  <si>
    <t>1. Use Tab, Enter and Esc on the main forms</t>
  </si>
  <si>
    <t>All controls reachable; dialogs close with Esc</t>
  </si>
  <si>
    <t>UIX-058</t>
  </si>
  <si>
    <t>Colour is not the only signal</t>
  </si>
  <si>
    <t>1. View status badges in greyscale</t>
  </si>
  <si>
    <t>Text labels show the status as well as colour</t>
  </si>
  <si>
    <t>UIX-059</t>
  </si>
  <si>
    <t>Browsers</t>
  </si>
  <si>
    <t>Main flow in Chrome, Edge, Firefox and Safari</t>
  </si>
  <si>
    <t>1. Upload, Review, Submit, Record Payment in each browser</t>
  </si>
  <si>
    <t>Same result; date boxes and pop-up work</t>
  </si>
  <si>
    <t>SEC-001</t>
  </si>
  <si>
    <t>Injection</t>
  </si>
  <si>
    <t>SQL injection in every search box</t>
  </si>
  <si>
    <t>1. Type ' OR 1=1 -- into each search and filter box</t>
  </si>
  <si>
    <t>No error, no extra rows</t>
  </si>
  <si>
    <t>SEC-002</t>
  </si>
  <si>
    <t>XSS</t>
  </si>
  <si>
    <t>Script text in remarks and names</t>
  </si>
  <si>
    <t xml:space="preserve">1. Upload a row whose Remarks is &lt;script&gt;alert(1)&lt;/script&gt;
2. Open the invoice</t>
  </si>
  <si>
    <t>Shown as plain text; no script runs</t>
  </si>
  <si>
    <t>SEC-003</t>
  </si>
  <si>
    <t>IDOR</t>
  </si>
  <si>
    <t>Invoices and payments of another branch by id</t>
  </si>
  <si>
    <t>1. Open /accountant/invoices/&lt;other-branch id&gt;</t>
  </si>
  <si>
    <t>Not found</t>
  </si>
  <si>
    <t>SEC-004</t>
  </si>
  <si>
    <t>Token</t>
  </si>
  <si>
    <t>Tampered token</t>
  </si>
  <si>
    <t>1. Change the role inside the token</t>
  </si>
  <si>
    <t>401 and back to login</t>
  </si>
  <si>
    <t>SEC-005</t>
  </si>
  <si>
    <t>Malicious file names or types</t>
  </si>
  <si>
    <t>1. Upload .exe, .html, .svg or a file named ../../x.xlsx</t>
  </si>
  <si>
    <t>Only .xlsx or .csv accepted; name is not used as a path</t>
  </si>
  <si>
    <t>SEC-006</t>
  </si>
  <si>
    <t>CSV</t>
  </si>
  <si>
    <t>Formula injection in exported CSV</t>
  </si>
  <si>
    <t>A remark starting with =</t>
  </si>
  <si>
    <t>1. Export and open in Excel</t>
  </si>
  <si>
    <t>Cells starting with = + - @ are prefixed so they don't run (error-rows CSV)</t>
  </si>
  <si>
    <t>SEC-007</t>
  </si>
  <si>
    <t>API</t>
  </si>
  <si>
    <t>Cancel and payment endpoints need permission</t>
  </si>
  <si>
    <t>1. Call them with a technician token</t>
  </si>
  <si>
    <t>403 'Forbidden: insufficient permissions'</t>
  </si>
  <si>
    <t>SEC-008</t>
  </si>
  <si>
    <t>Passwords</t>
  </si>
  <si>
    <t>Never returned by the API</t>
  </si>
  <si>
    <t>1. Inspect /api/auth/me</t>
  </si>
  <si>
    <t>No password or hash</t>
  </si>
  <si>
    <t>DBC-001</t>
  </si>
  <si>
    <t>After Upload &amp; Validate</t>
  </si>
  <si>
    <t>1. Open invoice_imports and invoice_import_rows</t>
  </si>
  <si>
    <t>1 import row (PREVIEWED); 42 import rows with matched_customer_id and matched_site_id filled for valid rows</t>
  </si>
  <si>
    <t>DBC-002</t>
  </si>
  <si>
    <t>1. Open invoices, invoice_tds, invoice_import_rows, invoice_imports</t>
  </si>
  <si>
    <t>invoices +41, invoice_tds +41, import rows have created_invoice_id, import is CONFIRMED</t>
  </si>
  <si>
    <t>DBC-003</t>
  </si>
  <si>
    <t>Join query shows everything connected</t>
  </si>
  <si>
    <t>1. Run: SELECT i.invoice_number, c.name, s.name, b.name, i.status, t.tds_rate, t.expected_tds FROM invoices i JOIN companies c ON c.id=i.customer_id LEFT JOIN sites s ON s.id=i.site_id LEFT JOIN branches b ON b.id=s.branch_id LEFT JOIN invoice_tds t ON t.invoice_id=i.id</t>
  </si>
  <si>
    <t>Every row has a customer, site, branch and TDS row</t>
  </si>
  <si>
    <t>DBC-004</t>
  </si>
  <si>
    <t>Ids</t>
  </si>
  <si>
    <t>Ids are UUIDs</t>
  </si>
  <si>
    <t>1. Look at companies.id, sites.id, invoices.id</t>
  </si>
  <si>
    <t>36-character UUIDs (not auto-increment numbers)</t>
  </si>
  <si>
    <t>DBC-005</t>
  </si>
  <si>
    <t>Stored status equals the screen</t>
  </si>
  <si>
    <t>1. Compare invoices.status with Invoice List</t>
  </si>
  <si>
    <t>Identical for every invoice</t>
  </si>
  <si>
    <t>DBC-006</t>
  </si>
  <si>
    <t>Late invoices are OVERDUE in the table</t>
  </si>
  <si>
    <t>1. SELECT status FROM invoices WHERE due_date &lt; CURDATE() AND status NOT IN ('PAID','CANCELLED')</t>
  </si>
  <si>
    <t>Only OVERDUE (no PENDING or PARTIAL)</t>
  </si>
  <si>
    <t>DBC-007</t>
  </si>
  <si>
    <t>Payment</t>
  </si>
  <si>
    <t>1. Open payments, payment_allocations, tds_transactions, invoices, invoice_tds</t>
  </si>
  <si>
    <t>paid_amount and pending_amount updated; deducted_tds and pending_tds updated; tds_type CURRENT or PREVIOUS</t>
  </si>
  <si>
    <t>DBC-008</t>
  </si>
  <si>
    <t>Delete</t>
  </si>
  <si>
    <t>Deleting an upload from Recent Uploads</t>
  </si>
  <si>
    <t xml:space="preserve">1. Remove an upload
2. Check the tables</t>
  </si>
  <si>
    <t>invoice_imports row deleted and its rows cascade; invoices, invoice_tds and payments untouched</t>
  </si>
  <si>
    <t>DBC-009</t>
  </si>
  <si>
    <t>Customer TDS fields</t>
  </si>
  <si>
    <t>1. Open companies</t>
  </si>
  <si>
    <t>tds_applicable 1 and tds_rate 2.00 for TDS customers, 0 and NULL otherwise</t>
  </si>
  <si>
    <t>DBC-010</t>
  </si>
  <si>
    <t>Counts</t>
  </si>
  <si>
    <t>Amounts add up</t>
  </si>
  <si>
    <t>1. SUM(invoice_amount), SUM(paid_amount), SUM(pending_amount) for non-cancelled invoices</t>
  </si>
  <si>
    <t>paid + pending = amount for every invoice; equals the dashboard and Payment Tracking numbers</t>
  </si>
  <si>
    <t>DBC-011</t>
  </si>
  <si>
    <t>Data</t>
  </si>
  <si>
    <t>Test data cleanup</t>
  </si>
  <si>
    <t>1. Run cleanup_all_test_customers_and_sites.sql</t>
  </si>
  <si>
    <t>Removes only test customers and sites that have no invoices</t>
  </si>
  <si>
    <t>E2E-001</t>
  </si>
  <si>
    <t>Month flow</t>
  </si>
  <si>
    <t>Upload, review, submit, pay, report</t>
  </si>
  <si>
    <t>TDS set for customers</t>
  </si>
  <si>
    <t xml:space="preserve">1. Upload ALL_CASES_invoice_upload_TDS2pct.xlsx
2. Check the pop-up and Review
3. Submit
4. Check Invoice List and Outstanding
5. Record the payments in the ALL_CASES workbook (P01 to P19)
6. Check Payment List, Invoice Details, Dashboard, Payment Tracking</t>
  </si>
  <si>
    <t>Final statuses and TDS equal the Test Plan sheet of the ALL_CASES workbook; database equals the screens</t>
  </si>
  <si>
    <t>E2E-002</t>
  </si>
  <si>
    <t>Five statuses</t>
  </si>
  <si>
    <t>One invoice per status</t>
  </si>
  <si>
    <t>1. Follow the Status Plan sheet of FIVE_STATUS_invoice_upload.xlsx</t>
  </si>
  <si>
    <t>Overdue, Partially Paid, Paid, Cancelled, Pending shown, stored the same</t>
  </si>
  <si>
    <t>E2E-003</t>
  </si>
  <si>
    <t>Validation flow</t>
  </si>
  <si>
    <t>Mixed file, then fix and re-upload</t>
  </si>
  <si>
    <t xml:space="preserve">1. Upload VALIDATION_all_cases_invoice_upload.xlsx
2. Download Error Rows
3. Fix and upload again</t>
  </si>
  <si>
    <t>Errors explained, valid rows saved once, no duplicates on the second upload</t>
  </si>
  <si>
    <t>E2E-004</t>
  </si>
  <si>
    <t>TDS flow</t>
  </si>
  <si>
    <t>Miss the TDS, add it later</t>
  </si>
  <si>
    <t xml:space="preserve">1. Pay an invoice in full with TDS 0
2. Next payment: Add Previous TDS for it</t>
  </si>
  <si>
    <t>Invoice stays PAID; TDS PENDING then CLEARED; history shows Current and Previous</t>
  </si>
  <si>
    <t>E2E-005</t>
  </si>
  <si>
    <t>Late flow</t>
  </si>
  <si>
    <t>Overdue invoice paid in two parts</t>
  </si>
  <si>
    <t xml:space="preserve">1. Pay part
2. Pay the rest</t>
  </si>
  <si>
    <t>OVERDUE after the first payment; PAID after the second</t>
  </si>
  <si>
    <t>E2E-006</t>
  </si>
  <si>
    <t>Dashboard flow</t>
  </si>
  <si>
    <t>Numbers move after each step</t>
  </si>
  <si>
    <t xml:space="preserve">1. Note the dashboard
2. Submit
3. Pay
4. Compare each time</t>
  </si>
  <si>
    <t>Tiles and chart change exactly as expected after each step</t>
  </si>
  <si>
    <t>A. Upload files (folder docs/test-data/upload-pack/)</t>
  </si>
  <si>
    <t>What it is for</t>
  </si>
  <si>
    <t>Expected on the Review screen</t>
  </si>
  <si>
    <t>Notes</t>
  </si>
  <si>
    <t>42 invoices covering every status, TDS (2%) and non-TDS customers, due-date edges. Extra sheets: Test Plan, Payments to Record, Payment Lines.</t>
  </si>
  <si>
    <t>42 total, 42 valid, 0 errors</t>
  </si>
  <si>
    <t>Upload and Submit first. Do not upload twice (all rows would be duplicates).</t>
  </si>
  <si>
    <t>Every validation rule, row by row. Second sheet 'Expected Results' lists the expected message for each row.</t>
  </si>
  <si>
    <t>70 rows counted: 31 valid, 39 errors (one blank row is skipped)</t>
  </si>
  <si>
    <t>Submit ALL_CASES first (one row repeats an invoice number from it).</t>
  </si>
  <si>
    <t>5 rows that pass review but may behave oddly when saved (0.001 amount, 1001-character remark, far future dates).</t>
  </si>
  <si>
    <t>5 total, 5 valid</t>
  </si>
  <si>
    <t>Do not include in a normal run.</t>
  </si>
  <si>
    <t>5 invoices, one for each status. Second sheet 'Status Plan'.</t>
  </si>
  <si>
    <t>Pay …/05889 5,000 and …/1233 10,499; cancel …/3456.</t>
  </si>
  <si>
    <t>file_level_checks/01_missing_columns.xlsx</t>
  </si>
  <si>
    <t>No Site and Amount column</t>
  </si>
  <si>
    <t>file_level_checks/02_headers_only.xlsx</t>
  </si>
  <si>
    <t>Only the header row</t>
  </si>
  <si>
    <t>file_level_checks/03_corrupt_file.xlsx</t>
  </si>
  <si>
    <t>Text renamed to .xlsx</t>
  </si>
  <si>
    <t>file_level_checks/04_wrong_type.pdf, 05_wrong_type.png</t>
  </si>
  <si>
    <t>Wrong file types</t>
  </si>
  <si>
    <t>Rejected: only .xlsx or .csv</t>
  </si>
  <si>
    <t>file_level_checks/06_over_5MB.xlsx</t>
  </si>
  <si>
    <t>5.6 MB</t>
  </si>
  <si>
    <t>file_level_checks/07_5000_rows.xlsx</t>
  </si>
  <si>
    <t>Exactly 5000 rows</t>
  </si>
  <si>
    <t>5000 total, 5000 valid</t>
  </si>
  <si>
    <t>Also a speed test; do not Submit unless you want 5000 invoices.</t>
  </si>
  <si>
    <t>file_level_checks/08_5001_rows.xlsx</t>
  </si>
  <si>
    <t>One row over the limit</t>
  </si>
  <si>
    <t>'The file has more than 5000 rows. Please split it into smaller files.'</t>
  </si>
  <si>
    <t>file_level_checks/09_alternate_headers.xlsx</t>
  </si>
  <si>
    <t>Other header spellings, shuffled columns</t>
  </si>
  <si>
    <t>8 total, 8 valid</t>
  </si>
  <si>
    <t>B. Test customers in the database (codes)</t>
  </si>
  <si>
    <t>Customer (code)</t>
  </si>
  <si>
    <t>Branch / status</t>
  </si>
  <si>
    <t>Sites</t>
  </si>
  <si>
    <t>Bluewave Hotels Pvt Ltd (BWH01)</t>
  </si>
  <si>
    <t>2%</t>
  </si>
  <si>
    <t>Head Office</t>
  </si>
  <si>
    <t>Bluewave - Indiranagar, - Whitefield, - Koramangala, - Old Warehouse (inactive)</t>
  </si>
  <si>
    <t>Sunrise Apartments Owners Assn (SAO02)</t>
  </si>
  <si>
    <t>none</t>
  </si>
  <si>
    <t>Sunrise - Tower A, - Tower B, - Clubhouse</t>
  </si>
  <si>
    <t>Kaveri Tech Park LLP (KTP03)</t>
  </si>
  <si>
    <t>Kaveri - Block 1, - Block 2, - Food Court</t>
  </si>
  <si>
    <t>Green Meadow School (GMS04)</t>
  </si>
  <si>
    <t>Green Meadow - Main Campus, - Annex</t>
  </si>
  <si>
    <t>Lotus Diagnostics Centre (LDC05)</t>
  </si>
  <si>
    <t>Lotus - Jayanagar Lab, - HSR Lab</t>
  </si>
  <si>
    <t>Café Zoë &amp; Sons (Pvt) Ltd (CZS06)</t>
  </si>
  <si>
    <t>Café Zoë - Main Outlet, - Kiosk 2</t>
  </si>
  <si>
    <t>Twin Traders (TWN07A and TWN07B - same name)</t>
  </si>
  <si>
    <t>Twin Traders - Shop 1 / Shop 2</t>
  </si>
  <si>
    <t>Dormant Stores Ltd (DRM09)</t>
  </si>
  <si>
    <t>INACTIVE customer</t>
  </si>
  <si>
    <t>Dormant - Store</t>
  </si>
  <si>
    <t>Southern Foods Co (SFC10)</t>
  </si>
  <si>
    <t>other branch (abc)</t>
  </si>
  <si>
    <t>Southern - Depot</t>
  </si>
  <si>
    <t>Orchid Bakers &amp; Confectioners (OBC11)</t>
  </si>
  <si>
    <t>Orchid - Central Bakery, - Mall Outlet</t>
  </si>
  <si>
    <t>Silverline Logistics Pvt Ltd (SLL12)</t>
  </si>
  <si>
    <t>Silverline - Hub 1, - Hub 2</t>
  </si>
  <si>
    <t>D'Souza &amp; Daughters Jewellers (DSD13)</t>
  </si>
  <si>
    <t>D'Souza - Commercial Street</t>
  </si>
  <si>
    <t>ಶ್ರೀ ಲಕ್ಷ್ಮಿ ಸ್ಟೋರ್ಸ್ (SLS14)</t>
  </si>
  <si>
    <t>ಶ್ರೀ ಲಕ್ಷ್ಮಿ - ಮುಖ್ಯ ಅಂಗಡಿ</t>
  </si>
  <si>
    <t>24x7 Fitness Studios (FIT15)</t>
  </si>
  <si>
    <t>24x7 - Koramangala Studio</t>
  </si>
  <si>
    <t>Maple Leaf International School (MLS16)</t>
  </si>
  <si>
    <t>Maple Leaf - Junior Wing, - Senior Wing</t>
  </si>
  <si>
    <t>Harbor View Resorts (HVR17)</t>
  </si>
  <si>
    <t>Harbor - Beach Block</t>
  </si>
  <si>
    <t>Customer with a 195-character name (LNG18)</t>
  </si>
  <si>
    <t>Extra Long Name - Plant</t>
  </si>
  <si>
    <t>Quick Fix Plumbing (QFP19)</t>
  </si>
  <si>
    <t>Quick Fix - Shop 5, Ground Floor</t>
  </si>
  <si>
    <t>Ambar Textiles (ABT20)</t>
  </si>
  <si>
    <t>Ambar - Godown A, - Godown B (closed, inactive site)</t>
  </si>
  <si>
    <t>Northstar Clinics (NSC21)</t>
  </si>
  <si>
    <t>Northstar - Clinic 1, - Clinic 2</t>
  </si>
  <si>
    <t>Brightside Coaching Institute (BCI22)</t>
  </si>
  <si>
    <t>Brightside - Annex (other branch)</t>
  </si>
  <si>
    <t>Narayana Hrudayalaya, OSB India Pvt Ltd, The Big Market, Cadabams Diagnostics LLP</t>
  </si>
  <si>
    <t>Narayana 2%, others none</t>
  </si>
  <si>
    <t>Electronic City, Telegana, chandapura, jayanagar, kanakapura (used by the FIVE_STATUS file)</t>
  </si>
  <si>
    <t>C. Invoice status rules</t>
  </si>
  <si>
    <t>Condition</t>
  </si>
  <si>
    <t>Set when</t>
  </si>
  <si>
    <t>Shown as</t>
  </si>
  <si>
    <t>PENDING</t>
  </si>
  <si>
    <t>Nothing settled, due date not passed (or no due date)</t>
  </si>
  <si>
    <t>Invoice is saved by Submit</t>
  </si>
  <si>
    <t>Pending</t>
  </si>
  <si>
    <t>PARTIAL</t>
  </si>
  <si>
    <t>Part settled, due date not passed</t>
  </si>
  <si>
    <t>A payment covers part of the invoice</t>
  </si>
  <si>
    <t>OVERDUE</t>
  </si>
  <si>
    <t>Not fully paid and the due date has passed</t>
  </si>
  <si>
    <t>Backend sync: at start-up, daily 00:05, and after upload Submit, payment, create or edit</t>
  </si>
  <si>
    <t>Overdue</t>
  </si>
  <si>
    <t>Cash + TDS settled equals the invoice amount (pending 0)</t>
  </si>
  <si>
    <t>A payment settles the rest</t>
  </si>
  <si>
    <t>CANCELLED</t>
  </si>
  <si>
    <t>Cancelled while nothing had been paid</t>
  </si>
  <si>
    <t>Cancel action (no button in the accountant panel)</t>
  </si>
  <si>
    <t>D. TDS status rules (customer with 2% TDS)</t>
  </si>
  <si>
    <t>TDS status</t>
  </si>
  <si>
    <t>Example (₹50,000 invoice)</t>
  </si>
  <si>
    <t>NOT_APPLICABLE</t>
  </si>
  <si>
    <t>Customer has no TDS when the invoice was saved</t>
  </si>
  <si>
    <t>Nothing deducted yet</t>
  </si>
  <si>
    <t>Expected 1,000, deducted 0</t>
  </si>
  <si>
    <t>Some deducted, less than expected</t>
  </si>
  <si>
    <t>Deducted 500 of 1,000</t>
  </si>
  <si>
    <t>CLEARED</t>
  </si>
  <si>
    <t>All expected TDS deducted</t>
  </si>
  <si>
    <t>Deducted 1,000 of 1,000</t>
  </si>
  <si>
    <t>Defect ID</t>
  </si>
  <si>
    <t>Title</t>
  </si>
  <si>
    <t>Steps to reproduce</t>
  </si>
  <si>
    <t>Expected</t>
  </si>
  <si>
    <t>Actual</t>
  </si>
  <si>
    <t>Severity</t>
  </si>
  <si>
    <t>Reported by</t>
  </si>
  <si>
    <t>Date</t>
  </si>
  <si>
    <t>Assigned to</t>
  </si>
  <si>
    <t>Fixed in build</t>
  </si>
  <si>
    <t>Retest result</t>
  </si>
  <si>
    <t>DEF-001</t>
  </si>
  <si>
    <t>EXAMPLE: cash more than pending is accepted</t>
  </si>
  <si>
    <t>1. Open Record Payment 2. Pending 30,000 3. Cash 31,000 4. Save</t>
  </si>
  <si>
    <t>Blocked with a message</t>
  </si>
  <si>
    <t>Payment saved</t>
  </si>
  <si>
    <t>High</t>
  </si>
  <si>
    <t>Open</t>
  </si>
  <si>
    <t>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</si>
</sst>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dd/mm/yyyy"/>
  </numFmts>
  <fonts count="7" x14ac:knownFonts="1">
    <font>
      <color theme="1"/>
      <family val="2"/>
      <scheme val="minor"/>
      <sz val="11"/>
      <name val="Calibri"/>
    </font>
    <font>
      <b/>
      <color rgb="FF1F3864"/>
      <sz val="14"/>
      <name val="Arial"/>
    </font>
    <font>
      <sz val="10"/>
      <name val="Arial"/>
    </font>
    <font>
      <b/>
      <sz val="10"/>
      <name val="Arial"/>
    </font>
    <font>
      <b/>
      <color rgb="FFFFFFFF"/>
      <sz val="10"/>
      <name val="Arial"/>
    </font>
    <font>
      <b/>
      <color rgb="FF1F3864"/>
      <sz val="12"/>
      <name val="Arial"/>
    </font>
    <font>
      <i/>
      <color rgb="FF7F7F7F"/>
      <sz val="10"/>
      <name val="Arial"/>
    </font>
  </fonts>
  <fills count="4">
    <fill>
      <patternFill patternType="none"/>
    </fill>
    <fill>
      <patternFill patternType="gray125"/>
    </fill>
    <fill>
      <patternFill patternType="solid">
        <fgColor rgb="FF1F3864"/>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164" fontId="2" fillId="0" borderId="1" xfId="0" applyNumberFormat="1" applyFont="1" applyBorder="1" applyAlignment="1">
      <alignment horizontal="center" vertical="top"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164" fontId="3" fillId="3" borderId="1" xfId="0" applyNumberFormat="1" applyFont="1" applyFill="1" applyBorder="1" applyAlignment="1">
      <alignment horizontal="center" vertical="top" wrapText="1"/>
    </xf>
    <xf numFmtId="0" fontId="2" fillId="0" borderId="1" xfId="0" applyFont="1" applyBorder="1" applyAlignment="1">
      <alignment vertical="top" wrapText="1"/>
    </xf>
    <xf numFmtId="165" fontId="2" fillId="0" borderId="1" xfId="0" applyNumberFormat="1" applyFont="1" applyBorder="1" applyAlignment="1">
      <alignment horizontal="center" vertical="top" wrapText="1"/>
    </xf>
    <xf numFmtId="0" fontId="5" fillId="0" borderId="0" xfId="0" applyFont="1"/>
    <xf numFmtId="0" fontId="6" fillId="0" borderId="1" xfId="0" applyFont="1" applyBorder="1" applyAlignment="1">
      <alignment vertical="top" wrapText="1"/>
    </xf>
    <xf numFmtId="165" fontId="6" fillId="0" borderId="1" xfId="0" applyNumberFormat="1" applyFont="1" applyBorder="1" applyAlignment="1">
      <alignment vertical="top" wrapText="1"/>
    </xf>
  </cellXfs>
  <cellStyles count="1">
    <cellStyle name="Normal" xfId="0" builtinId="0"/>
  </cellStyles>
  <dxfs count="6">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595959"/>
      </font>
      <fill>
        <patternFill patternType="solid">
          <bgColor rgb="FFD9D9D9"/>
        </patternFill>
      </fill>
    </dxf>
    <dxf>
      <font>
        <color rgb="FF9C0006"/>
      </font>
      <fill>
        <patternFill patternType="solid">
          <bgColor rgb="FFFFC7CE"/>
        </patternFill>
      </fill>
    </dxf>
    <dxf>
      <font>
        <color rgb="FF9C57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owGridLines="0"/>
  </sheetViews>
  <sheetFormatPr defaultRowHeight="15" outlineLevelRow="0" outlineLevelCol="0" x14ac:dyDescent="55"/>
  <cols>
    <col min="1" max="1" width="26" customWidth="1"/>
    <col min="2" max="2" width="115" customWidth="1"/>
  </cols>
  <sheetData>
    <row r="1" spans="1:2" x14ac:dyDescent="0.25">
      <c r="A1" s="1" t="s">
        <v>0</v>
      </c>
      <c r="B1" s="2" t="s">
        <v>1</v>
      </c>
    </row>
    <row r="2" spans="1:2" x14ac:dyDescent="0.25">
      <c r="A2" s="3" t="s">
        <v>2</v>
      </c>
      <c r="B2" s="2" t="s">
        <v>3</v>
      </c>
    </row>
    <row r="3" spans="1:2" x14ac:dyDescent="0.25">
      <c r="A3" s="3" t="s">
        <v>4</v>
      </c>
      <c r="B3" s="2" t="s">
        <v>5</v>
      </c>
    </row>
    <row r="4" spans="1:2" x14ac:dyDescent="0.25">
      <c r="A4" s="3" t="s">
        <v>6</v>
      </c>
      <c r="B4" s="2" t="s">
        <v>7</v>
      </c>
    </row>
    <row r="5" spans="1:2" x14ac:dyDescent="0.25">
      <c r="A5" s="3" t="s">
        <v>8</v>
      </c>
      <c r="B5" s="2" t="s">
        <v>9</v>
      </c>
    </row>
    <row r="6" spans="1:2" x14ac:dyDescent="0.25">
      <c r="A6" s="3" t="s">
        <v>10</v>
      </c>
      <c r="B6" s="2" t="s">
        <v>11</v>
      </c>
    </row>
    <row r="7" spans="1:2" x14ac:dyDescent="0.25">
      <c r="A7" s="3" t="s">
        <v>12</v>
      </c>
      <c r="B7" s="2" t="s">
        <v>13</v>
      </c>
    </row>
    <row r="8" spans="1:2" x14ac:dyDescent="0.25">
      <c r="A8" s="3" t="s">
        <v>14</v>
      </c>
      <c r="B8" s="2" t="s">
        <v>15</v>
      </c>
    </row>
    <row r="9" spans="1:2" x14ac:dyDescent="0.25">
      <c r="A9" s="3" t="s">
        <v>16</v>
      </c>
      <c r="B9" s="2" t="s">
        <v>17</v>
      </c>
    </row>
    <row r="10" spans="1:2" x14ac:dyDescent="0.25">
      <c r="A10" s="3" t="s">
        <v>18</v>
      </c>
      <c r="B10" s="2"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40"/>
  <sheetViews>
    <sheetView workbookViewId="0" showGridLines="0"/>
  </sheetViews>
  <sheetFormatPr defaultRowHeight="15" outlineLevelRow="0" outlineLevelCol="0" x14ac:dyDescent="55"/>
  <cols>
    <col min="1" max="1" width="50" customWidth="1"/>
    <col min="2" max="7" width="10" customWidth="1"/>
    <col min="8" max="9" width="12" customWidth="1"/>
  </cols>
  <sheetData>
    <row r="1" spans="1:1" x14ac:dyDescent="0.25">
      <c r="A1" s="4" t="s">
        <v>20</v>
      </c>
    </row>
    <row r="3" ht="30" customHeight="1" spans="1:9" x14ac:dyDescent="0.25">
      <c r="A3" s="5" t="s">
        <v>21</v>
      </c>
      <c r="B3" s="5" t="s">
        <v>22</v>
      </c>
      <c r="C3" s="5" t="s">
        <v>23</v>
      </c>
      <c r="D3" s="5" t="s">
        <v>24</v>
      </c>
      <c r="E3" s="5" t="s">
        <v>25</v>
      </c>
      <c r="F3" s="5" t="s">
        <v>26</v>
      </c>
      <c r="G3" s="5" t="s">
        <v>27</v>
      </c>
      <c r="H3" s="5" t="s">
        <v>28</v>
      </c>
      <c r="I3" s="5" t="s">
        <v>29</v>
      </c>
    </row>
    <row r="4" spans="1:9" x14ac:dyDescent="0.25">
      <c r="A4" s="6" t="s">
        <v>30</v>
      </c>
      <c r="B4" s="7">
        <f>COUNTIF('Test Cases'!$B:$B,$A4)</f>
        <v>16</v>
      </c>
      <c r="C4" s="7">
        <f>COUNTIFS('Test Cases'!$B:$B,$A4,'Test Cases'!$M:$M,"Pass")</f>
        <v>0</v>
      </c>
      <c r="D4" s="7">
        <f>COUNTIFS('Test Cases'!$B:$B,$A4,'Test Cases'!$M:$M,"Fail")</f>
        <v>0</v>
      </c>
      <c r="E4" s="7">
        <f>COUNTIFS('Test Cases'!$B:$B,$A4,'Test Cases'!$M:$M,"Blocked")</f>
        <v>0</v>
      </c>
      <c r="F4" s="7">
        <f>COUNTIFS('Test Cases'!$B:$B,$A4,'Test Cases'!$M:$M,"Skipped")</f>
        <v>0</v>
      </c>
      <c r="G4" s="7">
        <f>COUNTIFS('Test Cases'!$B:$B,$A4,'Test Cases'!$M:$M,"Not Run")</f>
        <v>16</v>
      </c>
      <c r="H4" s="8">
        <f>IFERROR((C4+D4+E4)/B4,0)</f>
        <v>0</v>
      </c>
      <c r="I4" s="8">
        <f>IFERROR(C4/(C4+D4+E4),0)</f>
        <v>0</v>
      </c>
    </row>
    <row r="5" spans="1:9" x14ac:dyDescent="0.25">
      <c r="A5" s="6" t="s">
        <v>31</v>
      </c>
      <c r="B5" s="7">
        <f>COUNTIF('Test Cases'!$B:$B,$A5)</f>
        <v>24</v>
      </c>
      <c r="C5" s="7">
        <f>COUNTIFS('Test Cases'!$B:$B,$A5,'Test Cases'!$M:$M,"Pass")</f>
        <v>0</v>
      </c>
      <c r="D5" s="7">
        <f>COUNTIFS('Test Cases'!$B:$B,$A5,'Test Cases'!$M:$M,"Fail")</f>
        <v>0</v>
      </c>
      <c r="E5" s="7">
        <f>COUNTIFS('Test Cases'!$B:$B,$A5,'Test Cases'!$M:$M,"Blocked")</f>
        <v>0</v>
      </c>
      <c r="F5" s="7">
        <f>COUNTIFS('Test Cases'!$B:$B,$A5,'Test Cases'!$M:$M,"Skipped")</f>
        <v>0</v>
      </c>
      <c r="G5" s="7">
        <f>COUNTIFS('Test Cases'!$B:$B,$A5,'Test Cases'!$M:$M,"Not Run")</f>
        <v>24</v>
      </c>
      <c r="H5" s="8">
        <f>IFERROR((C5+D5+E5)/B5,0)</f>
        <v>0</v>
      </c>
      <c r="I5" s="8">
        <f>IFERROR(C5/(C5+D5+E5),0)</f>
        <v>0</v>
      </c>
    </row>
    <row r="6" spans="1:9" x14ac:dyDescent="0.25">
      <c r="A6" s="6" t="s">
        <v>32</v>
      </c>
      <c r="B6" s="7">
        <f>COUNTIF('Test Cases'!$B:$B,$A6)</f>
        <v>25</v>
      </c>
      <c r="C6" s="7">
        <f>COUNTIFS('Test Cases'!$B:$B,$A6,'Test Cases'!$M:$M,"Pass")</f>
        <v>0</v>
      </c>
      <c r="D6" s="7">
        <f>COUNTIFS('Test Cases'!$B:$B,$A6,'Test Cases'!$M:$M,"Fail")</f>
        <v>0</v>
      </c>
      <c r="E6" s="7">
        <f>COUNTIFS('Test Cases'!$B:$B,$A6,'Test Cases'!$M:$M,"Blocked")</f>
        <v>0</v>
      </c>
      <c r="F6" s="7">
        <f>COUNTIFS('Test Cases'!$B:$B,$A6,'Test Cases'!$M:$M,"Skipped")</f>
        <v>0</v>
      </c>
      <c r="G6" s="7">
        <f>COUNTIFS('Test Cases'!$B:$B,$A6,'Test Cases'!$M:$M,"Not Run")</f>
        <v>25</v>
      </c>
      <c r="H6" s="8">
        <f>IFERROR((C6+D6+E6)/B6,0)</f>
        <v>0</v>
      </c>
      <c r="I6" s="8">
        <f>IFERROR(C6/(C6+D6+E6),0)</f>
        <v>0</v>
      </c>
    </row>
    <row r="7" spans="1:9" x14ac:dyDescent="0.25">
      <c r="A7" s="6" t="s">
        <v>33</v>
      </c>
      <c r="B7" s="7">
        <f>COUNTIF('Test Cases'!$B:$B,$A7)</f>
        <v>23</v>
      </c>
      <c r="C7" s="7">
        <f>COUNTIFS('Test Cases'!$B:$B,$A7,'Test Cases'!$M:$M,"Pass")</f>
        <v>0</v>
      </c>
      <c r="D7" s="7">
        <f>COUNTIFS('Test Cases'!$B:$B,$A7,'Test Cases'!$M:$M,"Fail")</f>
        <v>0</v>
      </c>
      <c r="E7" s="7">
        <f>COUNTIFS('Test Cases'!$B:$B,$A7,'Test Cases'!$M:$M,"Blocked")</f>
        <v>0</v>
      </c>
      <c r="F7" s="7">
        <f>COUNTIFS('Test Cases'!$B:$B,$A7,'Test Cases'!$M:$M,"Skipped")</f>
        <v>0</v>
      </c>
      <c r="G7" s="7">
        <f>COUNTIFS('Test Cases'!$B:$B,$A7,'Test Cases'!$M:$M,"Not Run")</f>
        <v>23</v>
      </c>
      <c r="H7" s="8">
        <f>IFERROR((C7+D7+E7)/B7,0)</f>
        <v>0</v>
      </c>
      <c r="I7" s="8">
        <f>IFERROR(C7/(C7+D7+E7),0)</f>
        <v>0</v>
      </c>
    </row>
    <row r="8" spans="1:9" x14ac:dyDescent="0.25">
      <c r="A8" s="6" t="s">
        <v>34</v>
      </c>
      <c r="B8" s="7">
        <f>COUNTIF('Test Cases'!$B:$B,$A8)</f>
        <v>47</v>
      </c>
      <c r="C8" s="7">
        <f>COUNTIFS('Test Cases'!$B:$B,$A8,'Test Cases'!$M:$M,"Pass")</f>
        <v>0</v>
      </c>
      <c r="D8" s="7">
        <f>COUNTIFS('Test Cases'!$B:$B,$A8,'Test Cases'!$M:$M,"Fail")</f>
        <v>0</v>
      </c>
      <c r="E8" s="7">
        <f>COUNTIFS('Test Cases'!$B:$B,$A8,'Test Cases'!$M:$M,"Blocked")</f>
        <v>0</v>
      </c>
      <c r="F8" s="7">
        <f>COUNTIFS('Test Cases'!$B:$B,$A8,'Test Cases'!$M:$M,"Skipped")</f>
        <v>0</v>
      </c>
      <c r="G8" s="7">
        <f>COUNTIFS('Test Cases'!$B:$B,$A8,'Test Cases'!$M:$M,"Not Run")</f>
        <v>47</v>
      </c>
      <c r="H8" s="8">
        <f>IFERROR((C8+D8+E8)/B8,0)</f>
        <v>0</v>
      </c>
      <c r="I8" s="8">
        <f>IFERROR(C8/(C8+D8+E8),0)</f>
        <v>0</v>
      </c>
    </row>
    <row r="9" spans="1:9" x14ac:dyDescent="0.25">
      <c r="A9" s="6" t="s">
        <v>35</v>
      </c>
      <c r="B9" s="7">
        <f>COUNTIF('Test Cases'!$B:$B,$A9)</f>
        <v>20</v>
      </c>
      <c r="C9" s="7">
        <f>COUNTIFS('Test Cases'!$B:$B,$A9,'Test Cases'!$M:$M,"Pass")</f>
        <v>0</v>
      </c>
      <c r="D9" s="7">
        <f>COUNTIFS('Test Cases'!$B:$B,$A9,'Test Cases'!$M:$M,"Fail")</f>
        <v>0</v>
      </c>
      <c r="E9" s="7">
        <f>COUNTIFS('Test Cases'!$B:$B,$A9,'Test Cases'!$M:$M,"Blocked")</f>
        <v>0</v>
      </c>
      <c r="F9" s="7">
        <f>COUNTIFS('Test Cases'!$B:$B,$A9,'Test Cases'!$M:$M,"Skipped")</f>
        <v>0</v>
      </c>
      <c r="G9" s="7">
        <f>COUNTIFS('Test Cases'!$B:$B,$A9,'Test Cases'!$M:$M,"Not Run")</f>
        <v>20</v>
      </c>
      <c r="H9" s="8">
        <f>IFERROR((C9+D9+E9)/B9,0)</f>
        <v>0</v>
      </c>
      <c r="I9" s="8">
        <f>IFERROR(C9/(C9+D9+E9),0)</f>
        <v>0</v>
      </c>
    </row>
    <row r="10" spans="1:9" x14ac:dyDescent="0.25">
      <c r="A10" s="6" t="s">
        <v>36</v>
      </c>
      <c r="B10" s="7">
        <f>COUNTIF('Test Cases'!$B:$B,$A10)</f>
        <v>21</v>
      </c>
      <c r="C10" s="7">
        <f>COUNTIFS('Test Cases'!$B:$B,$A10,'Test Cases'!$M:$M,"Pass")</f>
        <v>0</v>
      </c>
      <c r="D10" s="7">
        <f>COUNTIFS('Test Cases'!$B:$B,$A10,'Test Cases'!$M:$M,"Fail")</f>
        <v>0</v>
      </c>
      <c r="E10" s="7">
        <f>COUNTIFS('Test Cases'!$B:$B,$A10,'Test Cases'!$M:$M,"Blocked")</f>
        <v>0</v>
      </c>
      <c r="F10" s="7">
        <f>COUNTIFS('Test Cases'!$B:$B,$A10,'Test Cases'!$M:$M,"Skipped")</f>
        <v>0</v>
      </c>
      <c r="G10" s="7">
        <f>COUNTIFS('Test Cases'!$B:$B,$A10,'Test Cases'!$M:$M,"Not Run")</f>
        <v>21</v>
      </c>
      <c r="H10" s="8">
        <f>IFERROR((C10+D10+E10)/B10,0)</f>
        <v>0</v>
      </c>
      <c r="I10" s="8">
        <f>IFERROR(C10/(C10+D10+E10),0)</f>
        <v>0</v>
      </c>
    </row>
    <row r="11" spans="1:9" x14ac:dyDescent="0.25">
      <c r="A11" s="6" t="s">
        <v>37</v>
      </c>
      <c r="B11" s="7">
        <f>COUNTIF('Test Cases'!$B:$B,$A11)</f>
        <v>13</v>
      </c>
      <c r="C11" s="7">
        <f>COUNTIFS('Test Cases'!$B:$B,$A11,'Test Cases'!$M:$M,"Pass")</f>
        <v>0</v>
      </c>
      <c r="D11" s="7">
        <f>COUNTIFS('Test Cases'!$B:$B,$A11,'Test Cases'!$M:$M,"Fail")</f>
        <v>0</v>
      </c>
      <c r="E11" s="7">
        <f>COUNTIFS('Test Cases'!$B:$B,$A11,'Test Cases'!$M:$M,"Blocked")</f>
        <v>0</v>
      </c>
      <c r="F11" s="7">
        <f>COUNTIFS('Test Cases'!$B:$B,$A11,'Test Cases'!$M:$M,"Skipped")</f>
        <v>0</v>
      </c>
      <c r="G11" s="7">
        <f>COUNTIFS('Test Cases'!$B:$B,$A11,'Test Cases'!$M:$M,"Not Run")</f>
        <v>13</v>
      </c>
      <c r="H11" s="8">
        <f>IFERROR((C11+D11+E11)/B11,0)</f>
        <v>0</v>
      </c>
      <c r="I11" s="8">
        <f>IFERROR(C11/(C11+D11+E11),0)</f>
        <v>0</v>
      </c>
    </row>
    <row r="12" spans="1:9" x14ac:dyDescent="0.25">
      <c r="A12" s="6" t="s">
        <v>38</v>
      </c>
      <c r="B12" s="7">
        <f>COUNTIF('Test Cases'!$B:$B,$A12)</f>
        <v>42</v>
      </c>
      <c r="C12" s="7">
        <f>COUNTIFS('Test Cases'!$B:$B,$A12,'Test Cases'!$M:$M,"Pass")</f>
        <v>0</v>
      </c>
      <c r="D12" s="7">
        <f>COUNTIFS('Test Cases'!$B:$B,$A12,'Test Cases'!$M:$M,"Fail")</f>
        <v>0</v>
      </c>
      <c r="E12" s="7">
        <f>COUNTIFS('Test Cases'!$B:$B,$A12,'Test Cases'!$M:$M,"Blocked")</f>
        <v>0</v>
      </c>
      <c r="F12" s="7">
        <f>COUNTIFS('Test Cases'!$B:$B,$A12,'Test Cases'!$M:$M,"Skipped")</f>
        <v>0</v>
      </c>
      <c r="G12" s="7">
        <f>COUNTIFS('Test Cases'!$B:$B,$A12,'Test Cases'!$M:$M,"Not Run")</f>
        <v>42</v>
      </c>
      <c r="H12" s="8">
        <f>IFERROR((C12+D12+E12)/B12,0)</f>
        <v>0</v>
      </c>
      <c r="I12" s="8">
        <f>IFERROR(C12/(C12+D12+E12),0)</f>
        <v>0</v>
      </c>
    </row>
    <row r="13" spans="1:9" x14ac:dyDescent="0.25">
      <c r="A13" s="6" t="s">
        <v>39</v>
      </c>
      <c r="B13" s="7">
        <f>COUNTIF('Test Cases'!$B:$B,$A13)</f>
        <v>10</v>
      </c>
      <c r="C13" s="7">
        <f>COUNTIFS('Test Cases'!$B:$B,$A13,'Test Cases'!$M:$M,"Pass")</f>
        <v>0</v>
      </c>
      <c r="D13" s="7">
        <f>COUNTIFS('Test Cases'!$B:$B,$A13,'Test Cases'!$M:$M,"Fail")</f>
        <v>0</v>
      </c>
      <c r="E13" s="7">
        <f>COUNTIFS('Test Cases'!$B:$B,$A13,'Test Cases'!$M:$M,"Blocked")</f>
        <v>0</v>
      </c>
      <c r="F13" s="7">
        <f>COUNTIFS('Test Cases'!$B:$B,$A13,'Test Cases'!$M:$M,"Skipped")</f>
        <v>0</v>
      </c>
      <c r="G13" s="7">
        <f>COUNTIFS('Test Cases'!$B:$B,$A13,'Test Cases'!$M:$M,"Not Run")</f>
        <v>10</v>
      </c>
      <c r="H13" s="8">
        <f>IFERROR((C13+D13+E13)/B13,0)</f>
        <v>0</v>
      </c>
      <c r="I13" s="8">
        <f>IFERROR(C13/(C13+D13+E13),0)</f>
        <v>0</v>
      </c>
    </row>
    <row r="14" spans="1:9" x14ac:dyDescent="0.25">
      <c r="A14" s="6" t="s">
        <v>40</v>
      </c>
      <c r="B14" s="7">
        <f>COUNTIF('Test Cases'!$B:$B,$A14)</f>
        <v>19</v>
      </c>
      <c r="C14" s="7">
        <f>COUNTIFS('Test Cases'!$B:$B,$A14,'Test Cases'!$M:$M,"Pass")</f>
        <v>0</v>
      </c>
      <c r="D14" s="7">
        <f>COUNTIFS('Test Cases'!$B:$B,$A14,'Test Cases'!$M:$M,"Fail")</f>
        <v>0</v>
      </c>
      <c r="E14" s="7">
        <f>COUNTIFS('Test Cases'!$B:$B,$A14,'Test Cases'!$M:$M,"Blocked")</f>
        <v>0</v>
      </c>
      <c r="F14" s="7">
        <f>COUNTIFS('Test Cases'!$B:$B,$A14,'Test Cases'!$M:$M,"Skipped")</f>
        <v>0</v>
      </c>
      <c r="G14" s="7">
        <f>COUNTIFS('Test Cases'!$B:$B,$A14,'Test Cases'!$M:$M,"Not Run")</f>
        <v>19</v>
      </c>
      <c r="H14" s="8">
        <f>IFERROR((C14+D14+E14)/B14,0)</f>
        <v>0</v>
      </c>
      <c r="I14" s="8">
        <f>IFERROR(C14/(C14+D14+E14),0)</f>
        <v>0</v>
      </c>
    </row>
    <row r="15" spans="1:9" x14ac:dyDescent="0.25">
      <c r="A15" s="6" t="s">
        <v>41</v>
      </c>
      <c r="B15" s="7">
        <f>COUNTIF('Test Cases'!$B:$B,$A15)</f>
        <v>11</v>
      </c>
      <c r="C15" s="7">
        <f>COUNTIFS('Test Cases'!$B:$B,$A15,'Test Cases'!$M:$M,"Pass")</f>
        <v>0</v>
      </c>
      <c r="D15" s="7">
        <f>COUNTIFS('Test Cases'!$B:$B,$A15,'Test Cases'!$M:$M,"Fail")</f>
        <v>0</v>
      </c>
      <c r="E15" s="7">
        <f>COUNTIFS('Test Cases'!$B:$B,$A15,'Test Cases'!$M:$M,"Blocked")</f>
        <v>0</v>
      </c>
      <c r="F15" s="7">
        <f>COUNTIFS('Test Cases'!$B:$B,$A15,'Test Cases'!$M:$M,"Skipped")</f>
        <v>0</v>
      </c>
      <c r="G15" s="7">
        <f>COUNTIFS('Test Cases'!$B:$B,$A15,'Test Cases'!$M:$M,"Not Run")</f>
        <v>11</v>
      </c>
      <c r="H15" s="8">
        <f>IFERROR((C15+D15+E15)/B15,0)</f>
        <v>0</v>
      </c>
      <c r="I15" s="8">
        <f>IFERROR(C15/(C15+D15+E15),0)</f>
        <v>0</v>
      </c>
    </row>
    <row r="16" spans="1:9" x14ac:dyDescent="0.25">
      <c r="A16" s="6" t="s">
        <v>42</v>
      </c>
      <c r="B16" s="7">
        <f>COUNTIF('Test Cases'!$B:$B,$A16)</f>
        <v>59</v>
      </c>
      <c r="C16" s="7">
        <f>COUNTIFS('Test Cases'!$B:$B,$A16,'Test Cases'!$M:$M,"Pass")</f>
        <v>0</v>
      </c>
      <c r="D16" s="7">
        <f>COUNTIFS('Test Cases'!$B:$B,$A16,'Test Cases'!$M:$M,"Fail")</f>
        <v>0</v>
      </c>
      <c r="E16" s="7">
        <f>COUNTIFS('Test Cases'!$B:$B,$A16,'Test Cases'!$M:$M,"Blocked")</f>
        <v>0</v>
      </c>
      <c r="F16" s="7">
        <f>COUNTIFS('Test Cases'!$B:$B,$A16,'Test Cases'!$M:$M,"Skipped")</f>
        <v>0</v>
      </c>
      <c r="G16" s="7">
        <f>COUNTIFS('Test Cases'!$B:$B,$A16,'Test Cases'!$M:$M,"Not Run")</f>
        <v>59</v>
      </c>
      <c r="H16" s="8">
        <f>IFERROR((C16+D16+E16)/B16,0)</f>
        <v>0</v>
      </c>
      <c r="I16" s="8">
        <f>IFERROR(C16/(C16+D16+E16),0)</f>
        <v>0</v>
      </c>
    </row>
    <row r="17" spans="1:9" x14ac:dyDescent="0.25">
      <c r="A17" s="6" t="s">
        <v>43</v>
      </c>
      <c r="B17" s="7">
        <f>COUNTIF('Test Cases'!$B:$B,$A17)</f>
        <v>8</v>
      </c>
      <c r="C17" s="7">
        <f>COUNTIFS('Test Cases'!$B:$B,$A17,'Test Cases'!$M:$M,"Pass")</f>
        <v>0</v>
      </c>
      <c r="D17" s="7">
        <f>COUNTIFS('Test Cases'!$B:$B,$A17,'Test Cases'!$M:$M,"Fail")</f>
        <v>0</v>
      </c>
      <c r="E17" s="7">
        <f>COUNTIFS('Test Cases'!$B:$B,$A17,'Test Cases'!$M:$M,"Blocked")</f>
        <v>0</v>
      </c>
      <c r="F17" s="7">
        <f>COUNTIFS('Test Cases'!$B:$B,$A17,'Test Cases'!$M:$M,"Skipped")</f>
        <v>0</v>
      </c>
      <c r="G17" s="7">
        <f>COUNTIFS('Test Cases'!$B:$B,$A17,'Test Cases'!$M:$M,"Not Run")</f>
        <v>8</v>
      </c>
      <c r="H17" s="8">
        <f>IFERROR((C17+D17+E17)/B17,0)</f>
        <v>0</v>
      </c>
      <c r="I17" s="8">
        <f>IFERROR(C17/(C17+D17+E17),0)</f>
        <v>0</v>
      </c>
    </row>
    <row r="18" spans="1:9" x14ac:dyDescent="0.25">
      <c r="A18" s="6" t="s">
        <v>44</v>
      </c>
      <c r="B18" s="7">
        <f>COUNTIF('Test Cases'!$B:$B,$A18)</f>
        <v>11</v>
      </c>
      <c r="C18" s="7">
        <f>COUNTIFS('Test Cases'!$B:$B,$A18,'Test Cases'!$M:$M,"Pass")</f>
        <v>0</v>
      </c>
      <c r="D18" s="7">
        <f>COUNTIFS('Test Cases'!$B:$B,$A18,'Test Cases'!$M:$M,"Fail")</f>
        <v>0</v>
      </c>
      <c r="E18" s="7">
        <f>COUNTIFS('Test Cases'!$B:$B,$A18,'Test Cases'!$M:$M,"Blocked")</f>
        <v>0</v>
      </c>
      <c r="F18" s="7">
        <f>COUNTIFS('Test Cases'!$B:$B,$A18,'Test Cases'!$M:$M,"Skipped")</f>
        <v>0</v>
      </c>
      <c r="G18" s="7">
        <f>COUNTIFS('Test Cases'!$B:$B,$A18,'Test Cases'!$M:$M,"Not Run")</f>
        <v>11</v>
      </c>
      <c r="H18" s="8">
        <f>IFERROR((C18+D18+E18)/B18,0)</f>
        <v>0</v>
      </c>
      <c r="I18" s="8">
        <f>IFERROR(C18/(C18+D18+E18),0)</f>
        <v>0</v>
      </c>
    </row>
    <row r="19" spans="1:9" x14ac:dyDescent="0.25">
      <c r="A19" s="6" t="s">
        <v>45</v>
      </c>
      <c r="B19" s="7">
        <f>COUNTIF('Test Cases'!$B:$B,$A19)</f>
        <v>6</v>
      </c>
      <c r="C19" s="7">
        <f>COUNTIFS('Test Cases'!$B:$B,$A19,'Test Cases'!$M:$M,"Pass")</f>
        <v>0</v>
      </c>
      <c r="D19" s="7">
        <f>COUNTIFS('Test Cases'!$B:$B,$A19,'Test Cases'!$M:$M,"Fail")</f>
        <v>0</v>
      </c>
      <c r="E19" s="7">
        <f>COUNTIFS('Test Cases'!$B:$B,$A19,'Test Cases'!$M:$M,"Blocked")</f>
        <v>0</v>
      </c>
      <c r="F19" s="7">
        <f>COUNTIFS('Test Cases'!$B:$B,$A19,'Test Cases'!$M:$M,"Skipped")</f>
        <v>0</v>
      </c>
      <c r="G19" s="7">
        <f>COUNTIFS('Test Cases'!$B:$B,$A19,'Test Cases'!$M:$M,"Not Run")</f>
        <v>6</v>
      </c>
      <c r="H19" s="8">
        <f>IFERROR((C19+D19+E19)/B19,0)</f>
        <v>0</v>
      </c>
      <c r="I19" s="8">
        <f>IFERROR(C19/(C19+D19+E19),0)</f>
        <v>0</v>
      </c>
    </row>
    <row r="20" spans="1:9" x14ac:dyDescent="0.25">
      <c r="A20" s="9" t="s">
        <v>46</v>
      </c>
      <c r="B20" s="10">
        <f>SUM(B4:B19)</f>
        <v>355</v>
      </c>
      <c r="C20" s="10">
        <f>SUM(C4:C19)</f>
        <v>0</v>
      </c>
      <c r="D20" s="10">
        <f>SUM(D4:D19)</f>
        <v>0</v>
      </c>
      <c r="E20" s="10">
        <f>SUM(E4:E19)</f>
        <v>0</v>
      </c>
      <c r="F20" s="10">
        <f>SUM(F4:F19)</f>
        <v>0</v>
      </c>
      <c r="G20" s="10">
        <f>SUM(G4:G19)</f>
        <v>355</v>
      </c>
      <c r="H20" s="11">
        <f>IFERROR((C20+D20+E20)/B20,0)</f>
        <v>0</v>
      </c>
      <c r="I20" s="11">
        <f>IFERROR(C20/(C20+D20+E20),0)</f>
        <v>0</v>
      </c>
    </row>
    <row r="22" ht="30" customHeight="1" spans="1:7" x14ac:dyDescent="0.25">
      <c r="A22" s="5" t="s">
        <v>47</v>
      </c>
      <c r="B22" s="5" t="s">
        <v>22</v>
      </c>
      <c r="C22" s="5" t="s">
        <v>23</v>
      </c>
      <c r="D22" s="5" t="s">
        <v>24</v>
      </c>
      <c r="E22" s="5" t="s">
        <v>25</v>
      </c>
      <c r="F22" s="5" t="s">
        <v>26</v>
      </c>
      <c r="G22" s="5" t="s">
        <v>27</v>
      </c>
    </row>
    <row r="23" spans="1:7" x14ac:dyDescent="0.25">
      <c r="A23" s="6" t="s">
        <v>48</v>
      </c>
      <c r="B23" s="7">
        <f>COUNTIF('Test Cases'!$F:$F,$A23)</f>
        <v>158</v>
      </c>
      <c r="C23" s="7">
        <f>COUNTIFS('Test Cases'!$F:$F,$A23,'Test Cases'!$M:$M,"Pass")</f>
        <v>0</v>
      </c>
      <c r="D23" s="7">
        <f>COUNTIFS('Test Cases'!$F:$F,$A23,'Test Cases'!$M:$M,"Fail")</f>
        <v>0</v>
      </c>
      <c r="E23" s="7">
        <f>COUNTIFS('Test Cases'!$F:$F,$A23,'Test Cases'!$M:$M,"Blocked")</f>
        <v>0</v>
      </c>
      <c r="F23" s="7">
        <f>COUNTIFS('Test Cases'!$F:$F,$A23,'Test Cases'!$M:$M,"Skipped")</f>
        <v>0</v>
      </c>
      <c r="G23" s="7">
        <f>COUNTIFS('Test Cases'!$F:$F,$A23,'Test Cases'!$M:$M,"Not Run")</f>
        <v>158</v>
      </c>
    </row>
    <row r="24" spans="1:7" x14ac:dyDescent="0.25">
      <c r="A24" s="6" t="s">
        <v>49</v>
      </c>
      <c r="B24" s="7">
        <f>COUNTIF('Test Cases'!$F:$F,$A24)</f>
        <v>121</v>
      </c>
      <c r="C24" s="7">
        <f>COUNTIFS('Test Cases'!$F:$F,$A24,'Test Cases'!$M:$M,"Pass")</f>
        <v>0</v>
      </c>
      <c r="D24" s="7">
        <f>COUNTIFS('Test Cases'!$F:$F,$A24,'Test Cases'!$M:$M,"Fail")</f>
        <v>0</v>
      </c>
      <c r="E24" s="7">
        <f>COUNTIFS('Test Cases'!$F:$F,$A24,'Test Cases'!$M:$M,"Blocked")</f>
        <v>0</v>
      </c>
      <c r="F24" s="7">
        <f>COUNTIFS('Test Cases'!$F:$F,$A24,'Test Cases'!$M:$M,"Skipped")</f>
        <v>0</v>
      </c>
      <c r="G24" s="7">
        <f>COUNTIFS('Test Cases'!$F:$F,$A24,'Test Cases'!$M:$M,"Not Run")</f>
        <v>121</v>
      </c>
    </row>
    <row r="25" spans="1:7" x14ac:dyDescent="0.25">
      <c r="A25" s="6" t="s">
        <v>50</v>
      </c>
      <c r="B25" s="7">
        <f>COUNTIF('Test Cases'!$F:$F,$A25)</f>
        <v>51</v>
      </c>
      <c r="C25" s="7">
        <f>COUNTIFS('Test Cases'!$F:$F,$A25,'Test Cases'!$M:$M,"Pass")</f>
        <v>0</v>
      </c>
      <c r="D25" s="7">
        <f>COUNTIFS('Test Cases'!$F:$F,$A25,'Test Cases'!$M:$M,"Fail")</f>
        <v>0</v>
      </c>
      <c r="E25" s="7">
        <f>COUNTIFS('Test Cases'!$F:$F,$A25,'Test Cases'!$M:$M,"Blocked")</f>
        <v>0</v>
      </c>
      <c r="F25" s="7">
        <f>COUNTIFS('Test Cases'!$F:$F,$A25,'Test Cases'!$M:$M,"Skipped")</f>
        <v>0</v>
      </c>
      <c r="G25" s="7">
        <f>COUNTIFS('Test Cases'!$F:$F,$A25,'Test Cases'!$M:$M,"Not Run")</f>
        <v>51</v>
      </c>
    </row>
    <row r="26" spans="1:7" x14ac:dyDescent="0.25">
      <c r="A26" s="6" t="s">
        <v>51</v>
      </c>
      <c r="B26" s="7">
        <f>COUNTIF('Test Cases'!$F:$F,$A26)</f>
        <v>25</v>
      </c>
      <c r="C26" s="7">
        <f>COUNTIFS('Test Cases'!$F:$F,$A26,'Test Cases'!$M:$M,"Pass")</f>
        <v>0</v>
      </c>
      <c r="D26" s="7">
        <f>COUNTIFS('Test Cases'!$F:$F,$A26,'Test Cases'!$M:$M,"Fail")</f>
        <v>0</v>
      </c>
      <c r="E26" s="7">
        <f>COUNTIFS('Test Cases'!$F:$F,$A26,'Test Cases'!$M:$M,"Blocked")</f>
        <v>0</v>
      </c>
      <c r="F26" s="7">
        <f>COUNTIFS('Test Cases'!$F:$F,$A26,'Test Cases'!$M:$M,"Skipped")</f>
        <v>0</v>
      </c>
      <c r="G26" s="7">
        <f>COUNTIFS('Test Cases'!$F:$F,$A26,'Test Cases'!$M:$M,"Not Run")</f>
        <v>25</v>
      </c>
    </row>
    <row r="28" ht="30" customHeight="1" spans="1:2" x14ac:dyDescent="0.25">
      <c r="A28" s="5" t="s">
        <v>52</v>
      </c>
      <c r="B28" s="5" t="s">
        <v>22</v>
      </c>
    </row>
    <row r="29" spans="1:2" x14ac:dyDescent="0.25">
      <c r="A29" s="12" t="s">
        <v>53</v>
      </c>
      <c r="B29" s="7">
        <f>COUNTIF('Test Cases'!$E:$E,$A29)</f>
        <v>10</v>
      </c>
    </row>
    <row r="30" spans="1:2" x14ac:dyDescent="0.25">
      <c r="A30" s="12" t="s">
        <v>54</v>
      </c>
      <c r="B30" s="7">
        <f>COUNTIF('Test Cases'!$E:$E,$A30)</f>
        <v>1</v>
      </c>
    </row>
    <row r="31" spans="1:2" x14ac:dyDescent="0.25">
      <c r="A31" s="12" t="s">
        <v>55</v>
      </c>
      <c r="B31" s="7">
        <f>COUNTIF('Test Cases'!$E:$E,$A31)</f>
        <v>6</v>
      </c>
    </row>
    <row r="32" spans="1:2" x14ac:dyDescent="0.25">
      <c r="A32" s="12" t="s">
        <v>56</v>
      </c>
      <c r="B32" s="7">
        <f>COUNTIF('Test Cases'!$E:$E,$A32)</f>
        <v>132</v>
      </c>
    </row>
    <row r="33" spans="1:2" x14ac:dyDescent="0.25">
      <c r="A33" s="12" t="s">
        <v>57</v>
      </c>
      <c r="B33" s="7">
        <f>COUNTIF('Test Cases'!$E:$E,$A33)</f>
        <v>25</v>
      </c>
    </row>
    <row r="34" spans="1:2" x14ac:dyDescent="0.25">
      <c r="A34" s="12" t="s">
        <v>58</v>
      </c>
      <c r="B34" s="7">
        <f>COUNTIF('Test Cases'!$E:$E,$A34)</f>
        <v>25</v>
      </c>
    </row>
    <row r="35" spans="1:2" x14ac:dyDescent="0.25">
      <c r="A35" s="12" t="s">
        <v>59</v>
      </c>
      <c r="B35" s="7">
        <f>COUNTIF('Test Cases'!$E:$E,$A35)</f>
        <v>1</v>
      </c>
    </row>
    <row r="36" spans="1:2" x14ac:dyDescent="0.25">
      <c r="A36" s="12" t="s">
        <v>60</v>
      </c>
      <c r="B36" s="7">
        <f>COUNTIF('Test Cases'!$E:$E,$A36)</f>
        <v>52</v>
      </c>
    </row>
    <row r="37" spans="1:2" x14ac:dyDescent="0.25">
      <c r="A37" s="12" t="s">
        <v>43</v>
      </c>
      <c r="B37" s="7">
        <f>COUNTIF('Test Cases'!$E:$E,$A37)</f>
        <v>19</v>
      </c>
    </row>
    <row r="38" spans="1:2" x14ac:dyDescent="0.25">
      <c r="A38" s="12" t="s">
        <v>61</v>
      </c>
      <c r="B38" s="7">
        <f>COUNTIF('Test Cases'!$E:$E,$A38)</f>
        <v>32</v>
      </c>
    </row>
    <row r="39" spans="1:2" x14ac:dyDescent="0.25">
      <c r="A39" s="12" t="s">
        <v>62</v>
      </c>
      <c r="B39" s="7">
        <f>COUNTIF('Test Cases'!$E:$E,$A39)</f>
        <v>2</v>
      </c>
    </row>
    <row r="40" spans="1:2" x14ac:dyDescent="0.25">
      <c r="A40" s="12" t="s">
        <v>63</v>
      </c>
      <c r="B40" s="7">
        <f>COUNTIF('Test Cases'!$E:$E,$A40)</f>
        <v>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P356"/>
  <sheetViews>
    <sheetView workbookViewId="0">
      <pane xSplit="4" ySplit="1" topLeftCell="E2" activePane="bottomRight" state="frozen"/>
      <selection pane="bottomRight"/>
    </sheetView>
  </sheetViews>
  <sheetFormatPr defaultRowHeight="15" outlineLevelRow="0" outlineLevelCol="0" x14ac:dyDescent="55"/>
  <cols>
    <col min="1" max="1" width="10" customWidth="1"/>
    <col min="2" max="2" width="26" customWidth="1"/>
    <col min="3" max="3" width="18" customWidth="1"/>
    <col min="4" max="4" width="44" customWidth="1"/>
    <col min="5" max="5" width="12" customWidth="1"/>
    <col min="7" max="7" width="30" customWidth="1"/>
    <col min="8" max="8" width="52" customWidth="1"/>
    <col min="9" max="9" width="34" customWidth="1"/>
    <col min="10" max="10" width="56" customWidth="1"/>
    <col min="11" max="11" width="10" customWidth="1"/>
    <col min="12" max="12" width="30" customWidth="1"/>
    <col min="13" max="13" width="11" customWidth="1"/>
    <col min="14" max="15" width="13" customWidth="1"/>
    <col min="16" max="16" width="24" customWidth="1"/>
  </cols>
  <sheetData>
    <row r="1" ht="30" customHeight="1" spans="1:16" x14ac:dyDescent="0.25">
      <c r="A1" s="5" t="s">
        <v>64</v>
      </c>
      <c r="B1" s="5" t="s">
        <v>21</v>
      </c>
      <c r="C1" s="5" t="s">
        <v>65</v>
      </c>
      <c r="D1" s="5" t="s">
        <v>66</v>
      </c>
      <c r="E1" s="5" t="s">
        <v>67</v>
      </c>
      <c r="F1" s="5" t="s">
        <v>10</v>
      </c>
      <c r="G1" s="5" t="s">
        <v>68</v>
      </c>
      <c r="H1" s="5" t="s">
        <v>69</v>
      </c>
      <c r="I1" s="5" t="s">
        <v>70</v>
      </c>
      <c r="J1" s="5" t="s">
        <v>71</v>
      </c>
      <c r="K1" s="5" t="s">
        <v>72</v>
      </c>
      <c r="L1" s="5" t="s">
        <v>73</v>
      </c>
      <c r="M1" s="5" t="s">
        <v>74</v>
      </c>
      <c r="N1" s="5" t="s">
        <v>75</v>
      </c>
      <c r="O1" s="5" t="s">
        <v>76</v>
      </c>
      <c r="P1" s="5" t="s">
        <v>77</v>
      </c>
    </row>
    <row r="2" spans="1:16" x14ac:dyDescent="0.25">
      <c r="A2" s="7" t="s">
        <v>78</v>
      </c>
      <c r="B2" s="6" t="s">
        <v>30</v>
      </c>
      <c r="C2" s="6" t="s">
        <v>79</v>
      </c>
      <c r="D2" s="6" t="s">
        <v>80</v>
      </c>
      <c r="E2" s="7" t="s">
        <v>56</v>
      </c>
      <c r="F2" s="7" t="s">
        <v>48</v>
      </c>
      <c r="G2" s="6" t="s">
        <v>81</v>
      </c>
      <c r="H2" s="6" t="s">
        <v>82</v>
      </c>
      <c r="I2" s="6" t="s">
        <v>83</v>
      </c>
      <c r="J2" s="6" t="s">
        <v>84</v>
      </c>
      <c r="K2" s="7" t="s">
        <v>85</v>
      </c>
      <c r="L2" s="6" t="s">
        <v>1</v>
      </c>
      <c r="M2" s="7" t="s">
        <v>27</v>
      </c>
      <c r="N2" s="6" t="s">
        <v>1</v>
      </c>
      <c r="O2" s="13" t="s">
        <v>1</v>
      </c>
      <c r="P2" s="6" t="s">
        <v>1</v>
      </c>
    </row>
    <row r="3" spans="1:16" x14ac:dyDescent="0.25">
      <c r="A3" s="7" t="s">
        <v>86</v>
      </c>
      <c r="B3" s="6" t="s">
        <v>30</v>
      </c>
      <c r="C3" s="6" t="s">
        <v>79</v>
      </c>
      <c r="D3" s="6" t="s">
        <v>87</v>
      </c>
      <c r="E3" s="7" t="s">
        <v>58</v>
      </c>
      <c r="F3" s="7" t="s">
        <v>48</v>
      </c>
      <c r="G3" s="6" t="s">
        <v>88</v>
      </c>
      <c r="H3" s="6" t="s">
        <v>89</v>
      </c>
      <c r="I3" s="6" t="s">
        <v>90</v>
      </c>
      <c r="J3" s="6" t="s">
        <v>91</v>
      </c>
      <c r="K3" s="7" t="s">
        <v>85</v>
      </c>
      <c r="L3" s="6" t="s">
        <v>1</v>
      </c>
      <c r="M3" s="7" t="s">
        <v>27</v>
      </c>
      <c r="N3" s="6" t="s">
        <v>1</v>
      </c>
      <c r="O3" s="13" t="s">
        <v>1</v>
      </c>
      <c r="P3" s="6" t="s">
        <v>1</v>
      </c>
    </row>
    <row r="4" spans="1:16" x14ac:dyDescent="0.25">
      <c r="A4" s="7" t="s">
        <v>92</v>
      </c>
      <c r="B4" s="6" t="s">
        <v>30</v>
      </c>
      <c r="C4" s="6" t="s">
        <v>79</v>
      </c>
      <c r="D4" s="6" t="s">
        <v>93</v>
      </c>
      <c r="E4" s="7" t="s">
        <v>63</v>
      </c>
      <c r="F4" s="7" t="s">
        <v>49</v>
      </c>
      <c r="G4" s="6" t="s">
        <v>88</v>
      </c>
      <c r="H4" s="6" t="s">
        <v>94</v>
      </c>
      <c r="I4" s="6" t="s">
        <v>88</v>
      </c>
      <c r="J4" s="6" t="s">
        <v>95</v>
      </c>
      <c r="K4" s="7" t="s">
        <v>85</v>
      </c>
      <c r="L4" s="6" t="s">
        <v>1</v>
      </c>
      <c r="M4" s="7" t="s">
        <v>27</v>
      </c>
      <c r="N4" s="6" t="s">
        <v>1</v>
      </c>
      <c r="O4" s="13" t="s">
        <v>1</v>
      </c>
      <c r="P4" s="6" t="s">
        <v>1</v>
      </c>
    </row>
    <row r="5" spans="1:16" x14ac:dyDescent="0.25">
      <c r="A5" s="7" t="s">
        <v>96</v>
      </c>
      <c r="B5" s="6" t="s">
        <v>30</v>
      </c>
      <c r="C5" s="6" t="s">
        <v>97</v>
      </c>
      <c r="D5" s="6" t="s">
        <v>98</v>
      </c>
      <c r="E5" s="7" t="s">
        <v>56</v>
      </c>
      <c r="F5" s="7" t="s">
        <v>49</v>
      </c>
      <c r="G5" s="6" t="s">
        <v>99</v>
      </c>
      <c r="H5" s="6" t="s">
        <v>100</v>
      </c>
      <c r="I5" s="6" t="s">
        <v>88</v>
      </c>
      <c r="J5" s="6" t="s">
        <v>101</v>
      </c>
      <c r="K5" s="7" t="s">
        <v>102</v>
      </c>
      <c r="L5" s="6" t="s">
        <v>1</v>
      </c>
      <c r="M5" s="7" t="s">
        <v>27</v>
      </c>
      <c r="N5" s="6" t="s">
        <v>1</v>
      </c>
      <c r="O5" s="13" t="s">
        <v>1</v>
      </c>
      <c r="P5" s="6" t="s">
        <v>1</v>
      </c>
    </row>
    <row r="6" spans="1:16" x14ac:dyDescent="0.25">
      <c r="A6" s="7" t="s">
        <v>103</v>
      </c>
      <c r="B6" s="6" t="s">
        <v>30</v>
      </c>
      <c r="C6" s="6" t="s">
        <v>97</v>
      </c>
      <c r="D6" s="6" t="s">
        <v>104</v>
      </c>
      <c r="E6" s="7" t="s">
        <v>56</v>
      </c>
      <c r="F6" s="7" t="s">
        <v>48</v>
      </c>
      <c r="G6" s="6" t="s">
        <v>99</v>
      </c>
      <c r="H6" s="6" t="s">
        <v>105</v>
      </c>
      <c r="I6" s="6" t="s">
        <v>88</v>
      </c>
      <c r="J6" s="6" t="s">
        <v>106</v>
      </c>
      <c r="K6" s="7" t="s">
        <v>102</v>
      </c>
      <c r="L6" s="6" t="s">
        <v>1</v>
      </c>
      <c r="M6" s="7" t="s">
        <v>27</v>
      </c>
      <c r="N6" s="6" t="s">
        <v>1</v>
      </c>
      <c r="O6" s="13" t="s">
        <v>1</v>
      </c>
      <c r="P6" s="6" t="s">
        <v>1</v>
      </c>
    </row>
    <row r="7" spans="1:16" x14ac:dyDescent="0.25">
      <c r="A7" s="7" t="s">
        <v>107</v>
      </c>
      <c r="B7" s="6" t="s">
        <v>30</v>
      </c>
      <c r="C7" s="6" t="s">
        <v>97</v>
      </c>
      <c r="D7" s="6" t="s">
        <v>108</v>
      </c>
      <c r="E7" s="7" t="s">
        <v>43</v>
      </c>
      <c r="F7" s="7" t="s">
        <v>48</v>
      </c>
      <c r="G7" s="6" t="s">
        <v>99</v>
      </c>
      <c r="H7" s="6" t="s">
        <v>109</v>
      </c>
      <c r="I7" s="6" t="s">
        <v>88</v>
      </c>
      <c r="J7" s="6" t="s">
        <v>110</v>
      </c>
      <c r="K7" s="7" t="s">
        <v>85</v>
      </c>
      <c r="L7" s="6" t="s">
        <v>1</v>
      </c>
      <c r="M7" s="7" t="s">
        <v>27</v>
      </c>
      <c r="N7" s="6" t="s">
        <v>1</v>
      </c>
      <c r="O7" s="13" t="s">
        <v>1</v>
      </c>
      <c r="P7" s="6" t="s">
        <v>1</v>
      </c>
    </row>
    <row r="8" spans="1:16" x14ac:dyDescent="0.25">
      <c r="A8" s="7" t="s">
        <v>111</v>
      </c>
      <c r="B8" s="6" t="s">
        <v>30</v>
      </c>
      <c r="C8" s="6" t="s">
        <v>112</v>
      </c>
      <c r="D8" s="6" t="s">
        <v>113</v>
      </c>
      <c r="E8" s="7" t="s">
        <v>61</v>
      </c>
      <c r="F8" s="7" t="s">
        <v>49</v>
      </c>
      <c r="G8" s="6" t="s">
        <v>99</v>
      </c>
      <c r="H8" s="6" t="s">
        <v>114</v>
      </c>
      <c r="I8" s="6" t="s">
        <v>88</v>
      </c>
      <c r="J8" s="6" t="s">
        <v>115</v>
      </c>
      <c r="K8" s="7" t="s">
        <v>85</v>
      </c>
      <c r="L8" s="6" t="s">
        <v>1</v>
      </c>
      <c r="M8" s="7" t="s">
        <v>27</v>
      </c>
      <c r="N8" s="6" t="s">
        <v>1</v>
      </c>
      <c r="O8" s="13" t="s">
        <v>1</v>
      </c>
      <c r="P8" s="6" t="s">
        <v>1</v>
      </c>
    </row>
    <row r="9" spans="1:16" x14ac:dyDescent="0.25">
      <c r="A9" s="7" t="s">
        <v>116</v>
      </c>
      <c r="B9" s="6" t="s">
        <v>30</v>
      </c>
      <c r="C9" s="6" t="s">
        <v>112</v>
      </c>
      <c r="D9" s="6" t="s">
        <v>117</v>
      </c>
      <c r="E9" s="7" t="s">
        <v>56</v>
      </c>
      <c r="F9" s="7" t="s">
        <v>48</v>
      </c>
      <c r="G9" s="6" t="s">
        <v>99</v>
      </c>
      <c r="H9" s="6" t="s">
        <v>118</v>
      </c>
      <c r="I9" s="6" t="s">
        <v>88</v>
      </c>
      <c r="J9" s="6" t="s">
        <v>119</v>
      </c>
      <c r="K9" s="7" t="s">
        <v>85</v>
      </c>
      <c r="L9" s="6" t="s">
        <v>1</v>
      </c>
      <c r="M9" s="7" t="s">
        <v>27</v>
      </c>
      <c r="N9" s="6" t="s">
        <v>1</v>
      </c>
      <c r="O9" s="13" t="s">
        <v>1</v>
      </c>
      <c r="P9" s="6" t="s">
        <v>1</v>
      </c>
    </row>
    <row r="10" spans="1:16" x14ac:dyDescent="0.25">
      <c r="A10" s="7" t="s">
        <v>120</v>
      </c>
      <c r="B10" s="6" t="s">
        <v>30</v>
      </c>
      <c r="C10" s="6" t="s">
        <v>112</v>
      </c>
      <c r="D10" s="6" t="s">
        <v>121</v>
      </c>
      <c r="E10" s="7" t="s">
        <v>61</v>
      </c>
      <c r="F10" s="7" t="s">
        <v>50</v>
      </c>
      <c r="G10" s="6" t="s">
        <v>88</v>
      </c>
      <c r="H10" s="6" t="s">
        <v>122</v>
      </c>
      <c r="I10" s="6" t="s">
        <v>88</v>
      </c>
      <c r="J10" s="6" t="s">
        <v>123</v>
      </c>
      <c r="K10" s="7" t="s">
        <v>85</v>
      </c>
      <c r="L10" s="6" t="s">
        <v>1</v>
      </c>
      <c r="M10" s="7" t="s">
        <v>27</v>
      </c>
      <c r="N10" s="6" t="s">
        <v>1</v>
      </c>
      <c r="O10" s="13" t="s">
        <v>1</v>
      </c>
      <c r="P10" s="6" t="s">
        <v>1</v>
      </c>
    </row>
    <row r="11" spans="1:16" x14ac:dyDescent="0.25">
      <c r="A11" s="7" t="s">
        <v>124</v>
      </c>
      <c r="B11" s="6" t="s">
        <v>30</v>
      </c>
      <c r="C11" s="6" t="s">
        <v>112</v>
      </c>
      <c r="D11" s="6" t="s">
        <v>125</v>
      </c>
      <c r="E11" s="7" t="s">
        <v>56</v>
      </c>
      <c r="F11" s="7" t="s">
        <v>50</v>
      </c>
      <c r="G11" s="6" t="s">
        <v>88</v>
      </c>
      <c r="H11" s="6" t="s">
        <v>126</v>
      </c>
      <c r="I11" s="6" t="s">
        <v>88</v>
      </c>
      <c r="J11" s="6" t="s">
        <v>127</v>
      </c>
      <c r="K11" s="7" t="s">
        <v>85</v>
      </c>
      <c r="L11" s="6" t="s">
        <v>1</v>
      </c>
      <c r="M11" s="7" t="s">
        <v>27</v>
      </c>
      <c r="N11" s="6" t="s">
        <v>1</v>
      </c>
      <c r="O11" s="13" t="s">
        <v>1</v>
      </c>
      <c r="P11" s="6" t="s">
        <v>1</v>
      </c>
    </row>
    <row r="12" spans="1:16" x14ac:dyDescent="0.25">
      <c r="A12" s="7" t="s">
        <v>128</v>
      </c>
      <c r="B12" s="6" t="s">
        <v>30</v>
      </c>
      <c r="C12" s="6" t="s">
        <v>129</v>
      </c>
      <c r="D12" s="6" t="s">
        <v>130</v>
      </c>
      <c r="E12" s="7" t="s">
        <v>43</v>
      </c>
      <c r="F12" s="7" t="s">
        <v>48</v>
      </c>
      <c r="G12" s="6" t="s">
        <v>131</v>
      </c>
      <c r="H12" s="6" t="s">
        <v>132</v>
      </c>
      <c r="I12" s="6" t="s">
        <v>133</v>
      </c>
      <c r="J12" s="6" t="s">
        <v>134</v>
      </c>
      <c r="K12" s="7" t="s">
        <v>85</v>
      </c>
      <c r="L12" s="6" t="s">
        <v>1</v>
      </c>
      <c r="M12" s="7" t="s">
        <v>27</v>
      </c>
      <c r="N12" s="6" t="s">
        <v>1</v>
      </c>
      <c r="O12" s="13" t="s">
        <v>1</v>
      </c>
      <c r="P12" s="6" t="s">
        <v>1</v>
      </c>
    </row>
    <row r="13" spans="1:16" x14ac:dyDescent="0.25">
      <c r="A13" s="7" t="s">
        <v>135</v>
      </c>
      <c r="B13" s="6" t="s">
        <v>30</v>
      </c>
      <c r="C13" s="6" t="s">
        <v>129</v>
      </c>
      <c r="D13" s="6" t="s">
        <v>136</v>
      </c>
      <c r="E13" s="7" t="s">
        <v>43</v>
      </c>
      <c r="F13" s="7" t="s">
        <v>48</v>
      </c>
      <c r="G13" s="6" t="s">
        <v>137</v>
      </c>
      <c r="H13" s="6" t="s">
        <v>138</v>
      </c>
      <c r="I13" s="6" t="s">
        <v>88</v>
      </c>
      <c r="J13" s="6" t="s">
        <v>110</v>
      </c>
      <c r="K13" s="7" t="s">
        <v>85</v>
      </c>
      <c r="L13" s="6" t="s">
        <v>1</v>
      </c>
      <c r="M13" s="7" t="s">
        <v>27</v>
      </c>
      <c r="N13" s="6" t="s">
        <v>1</v>
      </c>
      <c r="O13" s="13" t="s">
        <v>1</v>
      </c>
      <c r="P13" s="6" t="s">
        <v>1</v>
      </c>
    </row>
    <row r="14" spans="1:16" x14ac:dyDescent="0.25">
      <c r="A14" s="7" t="s">
        <v>139</v>
      </c>
      <c r="B14" s="6" t="s">
        <v>30</v>
      </c>
      <c r="C14" s="6" t="s">
        <v>129</v>
      </c>
      <c r="D14" s="6" t="s">
        <v>140</v>
      </c>
      <c r="E14" s="7" t="s">
        <v>43</v>
      </c>
      <c r="F14" s="7" t="s">
        <v>48</v>
      </c>
      <c r="G14" s="6" t="s">
        <v>141</v>
      </c>
      <c r="H14" s="6" t="s">
        <v>142</v>
      </c>
      <c r="I14" s="6" t="s">
        <v>88</v>
      </c>
      <c r="J14" s="6" t="s">
        <v>143</v>
      </c>
      <c r="K14" s="7" t="s">
        <v>85</v>
      </c>
      <c r="L14" s="6" t="s">
        <v>1</v>
      </c>
      <c r="M14" s="7" t="s">
        <v>27</v>
      </c>
      <c r="N14" s="6" t="s">
        <v>1</v>
      </c>
      <c r="O14" s="13" t="s">
        <v>1</v>
      </c>
      <c r="P14" s="6" t="s">
        <v>1</v>
      </c>
    </row>
    <row r="15" spans="1:16" x14ac:dyDescent="0.25">
      <c r="A15" s="7" t="s">
        <v>144</v>
      </c>
      <c r="B15" s="6" t="s">
        <v>30</v>
      </c>
      <c r="C15" s="6" t="s">
        <v>129</v>
      </c>
      <c r="D15" s="6" t="s">
        <v>145</v>
      </c>
      <c r="E15" s="7" t="s">
        <v>43</v>
      </c>
      <c r="F15" s="7" t="s">
        <v>48</v>
      </c>
      <c r="G15" s="6" t="s">
        <v>146</v>
      </c>
      <c r="H15" s="6" t="s">
        <v>147</v>
      </c>
      <c r="I15" s="6" t="s">
        <v>148</v>
      </c>
      <c r="J15" s="6" t="s">
        <v>149</v>
      </c>
      <c r="K15" s="7" t="s">
        <v>85</v>
      </c>
      <c r="L15" s="6" t="s">
        <v>1</v>
      </c>
      <c r="M15" s="7" t="s">
        <v>27</v>
      </c>
      <c r="N15" s="6" t="s">
        <v>1</v>
      </c>
      <c r="O15" s="13" t="s">
        <v>1</v>
      </c>
      <c r="P15" s="6" t="s">
        <v>1</v>
      </c>
    </row>
    <row r="16" spans="1:16" x14ac:dyDescent="0.25">
      <c r="A16" s="7" t="s">
        <v>150</v>
      </c>
      <c r="B16" s="6" t="s">
        <v>30</v>
      </c>
      <c r="C16" s="6" t="s">
        <v>151</v>
      </c>
      <c r="D16" s="6" t="s">
        <v>152</v>
      </c>
      <c r="E16" s="7" t="s">
        <v>56</v>
      </c>
      <c r="F16" s="7" t="s">
        <v>49</v>
      </c>
      <c r="G16" s="6" t="s">
        <v>153</v>
      </c>
      <c r="H16" s="6" t="s">
        <v>154</v>
      </c>
      <c r="I16" s="6" t="s">
        <v>88</v>
      </c>
      <c r="J16" s="6" t="s">
        <v>155</v>
      </c>
      <c r="K16" s="7" t="s">
        <v>85</v>
      </c>
      <c r="L16" s="6" t="s">
        <v>1</v>
      </c>
      <c r="M16" s="7" t="s">
        <v>27</v>
      </c>
      <c r="N16" s="6" t="s">
        <v>1</v>
      </c>
      <c r="O16" s="13" t="s">
        <v>1</v>
      </c>
      <c r="P16" s="6" t="s">
        <v>1</v>
      </c>
    </row>
    <row r="17" spans="1:16" x14ac:dyDescent="0.25">
      <c r="A17" s="7" t="s">
        <v>156</v>
      </c>
      <c r="B17" s="6" t="s">
        <v>30</v>
      </c>
      <c r="C17" s="6" t="s">
        <v>157</v>
      </c>
      <c r="D17" s="6" t="s">
        <v>158</v>
      </c>
      <c r="E17" s="7" t="s">
        <v>56</v>
      </c>
      <c r="F17" s="7" t="s">
        <v>49</v>
      </c>
      <c r="G17" s="6" t="s">
        <v>99</v>
      </c>
      <c r="H17" s="6" t="s">
        <v>159</v>
      </c>
      <c r="I17" s="6" t="s">
        <v>88</v>
      </c>
      <c r="J17" s="6" t="s">
        <v>160</v>
      </c>
      <c r="K17" s="7" t="s">
        <v>85</v>
      </c>
      <c r="L17" s="6" t="s">
        <v>1</v>
      </c>
      <c r="M17" s="7" t="s">
        <v>27</v>
      </c>
      <c r="N17" s="6" t="s">
        <v>1</v>
      </c>
      <c r="O17" s="13" t="s">
        <v>1</v>
      </c>
      <c r="P17" s="6" t="s">
        <v>1</v>
      </c>
    </row>
    <row r="18" spans="1:16" x14ac:dyDescent="0.25">
      <c r="A18" s="7" t="s">
        <v>161</v>
      </c>
      <c r="B18" s="6" t="s">
        <v>31</v>
      </c>
      <c r="C18" s="6" t="s">
        <v>31</v>
      </c>
      <c r="D18" s="6" t="s">
        <v>162</v>
      </c>
      <c r="E18" s="7" t="s">
        <v>56</v>
      </c>
      <c r="F18" s="7" t="s">
        <v>48</v>
      </c>
      <c r="G18" s="6" t="s">
        <v>88</v>
      </c>
      <c r="H18" s="6" t="s">
        <v>163</v>
      </c>
      <c r="I18" s="6" t="s">
        <v>88</v>
      </c>
      <c r="J18" s="6" t="s">
        <v>164</v>
      </c>
      <c r="K18" s="7" t="s">
        <v>85</v>
      </c>
      <c r="L18" s="6" t="s">
        <v>1</v>
      </c>
      <c r="M18" s="7" t="s">
        <v>27</v>
      </c>
      <c r="N18" s="6" t="s">
        <v>1</v>
      </c>
      <c r="O18" s="13" t="s">
        <v>1</v>
      </c>
      <c r="P18" s="6" t="s">
        <v>1</v>
      </c>
    </row>
    <row r="19" spans="1:16" x14ac:dyDescent="0.25">
      <c r="A19" s="7" t="s">
        <v>165</v>
      </c>
      <c r="B19" s="6" t="s">
        <v>31</v>
      </c>
      <c r="C19" s="6" t="s">
        <v>31</v>
      </c>
      <c r="D19" s="6" t="s">
        <v>166</v>
      </c>
      <c r="E19" s="7" t="s">
        <v>56</v>
      </c>
      <c r="F19" s="7" t="s">
        <v>48</v>
      </c>
      <c r="G19" s="6" t="s">
        <v>167</v>
      </c>
      <c r="H19" s="6" t="s">
        <v>168</v>
      </c>
      <c r="I19" s="6" t="s">
        <v>169</v>
      </c>
      <c r="J19" s="6" t="s">
        <v>170</v>
      </c>
      <c r="K19" s="7" t="s">
        <v>85</v>
      </c>
      <c r="L19" s="6" t="s">
        <v>1</v>
      </c>
      <c r="M19" s="7" t="s">
        <v>27</v>
      </c>
      <c r="N19" s="6" t="s">
        <v>1</v>
      </c>
      <c r="O19" s="13" t="s">
        <v>1</v>
      </c>
      <c r="P19" s="6" t="s">
        <v>1</v>
      </c>
    </row>
    <row r="20" spans="1:16" x14ac:dyDescent="0.25">
      <c r="A20" s="7" t="s">
        <v>171</v>
      </c>
      <c r="B20" s="6" t="s">
        <v>31</v>
      </c>
      <c r="C20" s="6" t="s">
        <v>31</v>
      </c>
      <c r="D20" s="6" t="s">
        <v>172</v>
      </c>
      <c r="E20" s="7" t="s">
        <v>56</v>
      </c>
      <c r="F20" s="7" t="s">
        <v>49</v>
      </c>
      <c r="G20" s="6" t="s">
        <v>173</v>
      </c>
      <c r="H20" s="6" t="s">
        <v>174</v>
      </c>
      <c r="I20" s="6" t="s">
        <v>88</v>
      </c>
      <c r="J20" s="6" t="s">
        <v>175</v>
      </c>
      <c r="K20" s="7" t="s">
        <v>85</v>
      </c>
      <c r="L20" s="6" t="s">
        <v>1</v>
      </c>
      <c r="M20" s="7" t="s">
        <v>27</v>
      </c>
      <c r="N20" s="6" t="s">
        <v>1</v>
      </c>
      <c r="O20" s="13" t="s">
        <v>1</v>
      </c>
      <c r="P20" s="6" t="s">
        <v>1</v>
      </c>
    </row>
    <row r="21" spans="1:16" x14ac:dyDescent="0.25">
      <c r="A21" s="7" t="s">
        <v>176</v>
      </c>
      <c r="B21" s="6" t="s">
        <v>31</v>
      </c>
      <c r="C21" s="6" t="s">
        <v>31</v>
      </c>
      <c r="D21" s="6" t="s">
        <v>177</v>
      </c>
      <c r="E21" s="7" t="s">
        <v>56</v>
      </c>
      <c r="F21" s="7" t="s">
        <v>49</v>
      </c>
      <c r="G21" s="6" t="s">
        <v>178</v>
      </c>
      <c r="H21" s="6" t="s">
        <v>179</v>
      </c>
      <c r="I21" s="6" t="s">
        <v>88</v>
      </c>
      <c r="J21" s="6" t="s">
        <v>180</v>
      </c>
      <c r="K21" s="7" t="s">
        <v>85</v>
      </c>
      <c r="L21" s="6" t="s">
        <v>1</v>
      </c>
      <c r="M21" s="7" t="s">
        <v>27</v>
      </c>
      <c r="N21" s="6" t="s">
        <v>1</v>
      </c>
      <c r="O21" s="13" t="s">
        <v>1</v>
      </c>
      <c r="P21" s="6" t="s">
        <v>1</v>
      </c>
    </row>
    <row r="22" spans="1:16" x14ac:dyDescent="0.25">
      <c r="A22" s="7" t="s">
        <v>181</v>
      </c>
      <c r="B22" s="6" t="s">
        <v>31</v>
      </c>
      <c r="C22" s="6" t="s">
        <v>31</v>
      </c>
      <c r="D22" s="6" t="s">
        <v>182</v>
      </c>
      <c r="E22" s="7" t="s">
        <v>56</v>
      </c>
      <c r="F22" s="7" t="s">
        <v>48</v>
      </c>
      <c r="G22" s="6" t="s">
        <v>183</v>
      </c>
      <c r="H22" s="6" t="s">
        <v>184</v>
      </c>
      <c r="I22" s="6" t="s">
        <v>88</v>
      </c>
      <c r="J22" s="6" t="s">
        <v>185</v>
      </c>
      <c r="K22" s="7" t="s">
        <v>85</v>
      </c>
      <c r="L22" s="6" t="s">
        <v>1</v>
      </c>
      <c r="M22" s="7" t="s">
        <v>27</v>
      </c>
      <c r="N22" s="6" t="s">
        <v>1</v>
      </c>
      <c r="O22" s="13" t="s">
        <v>1</v>
      </c>
      <c r="P22" s="6" t="s">
        <v>1</v>
      </c>
    </row>
    <row r="23" spans="1:16" x14ac:dyDescent="0.25">
      <c r="A23" s="7" t="s">
        <v>186</v>
      </c>
      <c r="B23" s="6" t="s">
        <v>31</v>
      </c>
      <c r="C23" s="6" t="s">
        <v>31</v>
      </c>
      <c r="D23" s="6" t="s">
        <v>187</v>
      </c>
      <c r="E23" s="7" t="s">
        <v>53</v>
      </c>
      <c r="F23" s="7" t="s">
        <v>49</v>
      </c>
      <c r="G23" s="6" t="s">
        <v>188</v>
      </c>
      <c r="H23" s="6" t="s">
        <v>189</v>
      </c>
      <c r="I23" s="6" t="s">
        <v>190</v>
      </c>
      <c r="J23" s="6" t="s">
        <v>191</v>
      </c>
      <c r="K23" s="7" t="s">
        <v>85</v>
      </c>
      <c r="L23" s="6" t="s">
        <v>1</v>
      </c>
      <c r="M23" s="7" t="s">
        <v>27</v>
      </c>
      <c r="N23" s="6" t="s">
        <v>1</v>
      </c>
      <c r="O23" s="13" t="s">
        <v>1</v>
      </c>
      <c r="P23" s="6" t="s">
        <v>1</v>
      </c>
    </row>
    <row r="24" spans="1:16" x14ac:dyDescent="0.25">
      <c r="A24" s="7" t="s">
        <v>192</v>
      </c>
      <c r="B24" s="6" t="s">
        <v>31</v>
      </c>
      <c r="C24" s="6" t="s">
        <v>31</v>
      </c>
      <c r="D24" s="6" t="s">
        <v>193</v>
      </c>
      <c r="E24" s="7" t="s">
        <v>56</v>
      </c>
      <c r="F24" s="7" t="s">
        <v>48</v>
      </c>
      <c r="G24" s="6" t="s">
        <v>88</v>
      </c>
      <c r="H24" s="6" t="s">
        <v>194</v>
      </c>
      <c r="I24" s="6" t="s">
        <v>195</v>
      </c>
      <c r="J24" s="6" t="s">
        <v>196</v>
      </c>
      <c r="K24" s="7" t="s">
        <v>85</v>
      </c>
      <c r="L24" s="6" t="s">
        <v>1</v>
      </c>
      <c r="M24" s="7" t="s">
        <v>27</v>
      </c>
      <c r="N24" s="6" t="s">
        <v>1</v>
      </c>
      <c r="O24" s="13" t="s">
        <v>1</v>
      </c>
      <c r="P24" s="6" t="s">
        <v>1</v>
      </c>
    </row>
    <row r="25" spans="1:16" x14ac:dyDescent="0.25">
      <c r="A25" s="7" t="s">
        <v>197</v>
      </c>
      <c r="B25" s="6" t="s">
        <v>31</v>
      </c>
      <c r="C25" s="6" t="s">
        <v>31</v>
      </c>
      <c r="D25" s="6" t="s">
        <v>198</v>
      </c>
      <c r="E25" s="7" t="s">
        <v>56</v>
      </c>
      <c r="F25" s="7" t="s">
        <v>48</v>
      </c>
      <c r="G25" s="6" t="s">
        <v>88</v>
      </c>
      <c r="H25" s="6" t="s">
        <v>199</v>
      </c>
      <c r="I25" s="6" t="s">
        <v>88</v>
      </c>
      <c r="J25" s="6" t="s">
        <v>200</v>
      </c>
      <c r="K25" s="7" t="s">
        <v>85</v>
      </c>
      <c r="L25" s="6" t="s">
        <v>1</v>
      </c>
      <c r="M25" s="7" t="s">
        <v>27</v>
      </c>
      <c r="N25" s="6" t="s">
        <v>1</v>
      </c>
      <c r="O25" s="13" t="s">
        <v>1</v>
      </c>
      <c r="P25" s="6" t="s">
        <v>1</v>
      </c>
    </row>
    <row r="26" spans="1:16" x14ac:dyDescent="0.25">
      <c r="A26" s="7" t="s">
        <v>201</v>
      </c>
      <c r="B26" s="6" t="s">
        <v>31</v>
      </c>
      <c r="C26" s="6" t="s">
        <v>31</v>
      </c>
      <c r="D26" s="6" t="s">
        <v>202</v>
      </c>
      <c r="E26" s="7" t="s">
        <v>61</v>
      </c>
      <c r="F26" s="7" t="s">
        <v>50</v>
      </c>
      <c r="G26" s="6" t="s">
        <v>88</v>
      </c>
      <c r="H26" s="6" t="s">
        <v>203</v>
      </c>
      <c r="I26" s="6" t="s">
        <v>204</v>
      </c>
      <c r="J26" s="6" t="s">
        <v>205</v>
      </c>
      <c r="K26" s="7" t="s">
        <v>85</v>
      </c>
      <c r="L26" s="6" t="s">
        <v>1</v>
      </c>
      <c r="M26" s="7" t="s">
        <v>27</v>
      </c>
      <c r="N26" s="6" t="s">
        <v>1</v>
      </c>
      <c r="O26" s="13" t="s">
        <v>1</v>
      </c>
      <c r="P26" s="6" t="s">
        <v>1</v>
      </c>
    </row>
    <row r="27" spans="1:16" x14ac:dyDescent="0.25">
      <c r="A27" s="7" t="s">
        <v>206</v>
      </c>
      <c r="B27" s="6" t="s">
        <v>31</v>
      </c>
      <c r="C27" s="6" t="s">
        <v>31</v>
      </c>
      <c r="D27" s="6" t="s">
        <v>207</v>
      </c>
      <c r="E27" s="7" t="s">
        <v>56</v>
      </c>
      <c r="F27" s="7" t="s">
        <v>49</v>
      </c>
      <c r="G27" s="6" t="s">
        <v>88</v>
      </c>
      <c r="H27" s="6" t="s">
        <v>208</v>
      </c>
      <c r="I27" s="6" t="s">
        <v>88</v>
      </c>
      <c r="J27" s="6" t="s">
        <v>209</v>
      </c>
      <c r="K27" s="7" t="s">
        <v>85</v>
      </c>
      <c r="L27" s="6" t="s">
        <v>1</v>
      </c>
      <c r="M27" s="7" t="s">
        <v>27</v>
      </c>
      <c r="N27" s="6" t="s">
        <v>1</v>
      </c>
      <c r="O27" s="13" t="s">
        <v>1</v>
      </c>
      <c r="P27" s="6" t="s">
        <v>1</v>
      </c>
    </row>
    <row r="28" spans="1:16" x14ac:dyDescent="0.25">
      <c r="A28" s="7" t="s">
        <v>210</v>
      </c>
      <c r="B28" s="6" t="s">
        <v>31</v>
      </c>
      <c r="C28" s="6" t="s">
        <v>31</v>
      </c>
      <c r="D28" s="6" t="s">
        <v>211</v>
      </c>
      <c r="E28" s="7" t="s">
        <v>56</v>
      </c>
      <c r="F28" s="7" t="s">
        <v>48</v>
      </c>
      <c r="G28" s="6" t="s">
        <v>212</v>
      </c>
      <c r="H28" s="6" t="s">
        <v>213</v>
      </c>
      <c r="I28" s="6" t="s">
        <v>88</v>
      </c>
      <c r="J28" s="6" t="s">
        <v>214</v>
      </c>
      <c r="K28" s="7" t="s">
        <v>85</v>
      </c>
      <c r="L28" s="6" t="s">
        <v>1</v>
      </c>
      <c r="M28" s="7" t="s">
        <v>27</v>
      </c>
      <c r="N28" s="6" t="s">
        <v>1</v>
      </c>
      <c r="O28" s="13" t="s">
        <v>1</v>
      </c>
      <c r="P28" s="6" t="s">
        <v>1</v>
      </c>
    </row>
    <row r="29" spans="1:16" x14ac:dyDescent="0.25">
      <c r="A29" s="7" t="s">
        <v>215</v>
      </c>
      <c r="B29" s="6" t="s">
        <v>31</v>
      </c>
      <c r="C29" s="6" t="s">
        <v>31</v>
      </c>
      <c r="D29" s="6" t="s">
        <v>216</v>
      </c>
      <c r="E29" s="7" t="s">
        <v>56</v>
      </c>
      <c r="F29" s="7" t="s">
        <v>49</v>
      </c>
      <c r="G29" s="6" t="s">
        <v>88</v>
      </c>
      <c r="H29" s="6" t="s">
        <v>217</v>
      </c>
      <c r="I29" s="6" t="s">
        <v>88</v>
      </c>
      <c r="J29" s="6" t="s">
        <v>218</v>
      </c>
      <c r="K29" s="7" t="s">
        <v>85</v>
      </c>
      <c r="L29" s="6" t="s">
        <v>1</v>
      </c>
      <c r="M29" s="7" t="s">
        <v>27</v>
      </c>
      <c r="N29" s="6" t="s">
        <v>1</v>
      </c>
      <c r="O29" s="13" t="s">
        <v>1</v>
      </c>
      <c r="P29" s="6" t="s">
        <v>1</v>
      </c>
    </row>
    <row r="30" spans="1:16" x14ac:dyDescent="0.25">
      <c r="A30" s="7" t="s">
        <v>219</v>
      </c>
      <c r="B30" s="6" t="s">
        <v>31</v>
      </c>
      <c r="C30" s="6" t="s">
        <v>220</v>
      </c>
      <c r="D30" s="6" t="s">
        <v>221</v>
      </c>
      <c r="E30" s="7" t="s">
        <v>56</v>
      </c>
      <c r="F30" s="7" t="s">
        <v>48</v>
      </c>
      <c r="G30" s="6" t="s">
        <v>222</v>
      </c>
      <c r="H30" s="6" t="s">
        <v>223</v>
      </c>
      <c r="I30" s="6" t="s">
        <v>88</v>
      </c>
      <c r="J30" s="6" t="s">
        <v>224</v>
      </c>
      <c r="K30" s="7" t="s">
        <v>85</v>
      </c>
      <c r="L30" s="6" t="s">
        <v>1</v>
      </c>
      <c r="M30" s="7" t="s">
        <v>27</v>
      </c>
      <c r="N30" s="6" t="s">
        <v>1</v>
      </c>
      <c r="O30" s="13" t="s">
        <v>1</v>
      </c>
      <c r="P30" s="6" t="s">
        <v>1</v>
      </c>
    </row>
    <row r="31" spans="1:16" x14ac:dyDescent="0.25">
      <c r="A31" s="7" t="s">
        <v>225</v>
      </c>
      <c r="B31" s="6" t="s">
        <v>31</v>
      </c>
      <c r="C31" s="6" t="s">
        <v>220</v>
      </c>
      <c r="D31" s="6" t="s">
        <v>226</v>
      </c>
      <c r="E31" s="7" t="s">
        <v>56</v>
      </c>
      <c r="F31" s="7" t="s">
        <v>48</v>
      </c>
      <c r="G31" s="6" t="s">
        <v>227</v>
      </c>
      <c r="H31" s="6" t="s">
        <v>228</v>
      </c>
      <c r="I31" s="6" t="s">
        <v>88</v>
      </c>
      <c r="J31" s="6" t="s">
        <v>229</v>
      </c>
      <c r="K31" s="7" t="s">
        <v>85</v>
      </c>
      <c r="L31" s="6" t="s">
        <v>1</v>
      </c>
      <c r="M31" s="7" t="s">
        <v>27</v>
      </c>
      <c r="N31" s="6" t="s">
        <v>1</v>
      </c>
      <c r="O31" s="13" t="s">
        <v>1</v>
      </c>
      <c r="P31" s="6" t="s">
        <v>1</v>
      </c>
    </row>
    <row r="32" spans="1:16" x14ac:dyDescent="0.25">
      <c r="A32" s="7" t="s">
        <v>230</v>
      </c>
      <c r="B32" s="6" t="s">
        <v>31</v>
      </c>
      <c r="C32" s="6" t="s">
        <v>220</v>
      </c>
      <c r="D32" s="6" t="s">
        <v>231</v>
      </c>
      <c r="E32" s="7" t="s">
        <v>56</v>
      </c>
      <c r="F32" s="7" t="s">
        <v>49</v>
      </c>
      <c r="G32" s="6" t="s">
        <v>232</v>
      </c>
      <c r="H32" s="6" t="s">
        <v>233</v>
      </c>
      <c r="I32" s="6" t="s">
        <v>88</v>
      </c>
      <c r="J32" s="6" t="s">
        <v>234</v>
      </c>
      <c r="K32" s="7" t="s">
        <v>85</v>
      </c>
      <c r="L32" s="6" t="s">
        <v>1</v>
      </c>
      <c r="M32" s="7" t="s">
        <v>27</v>
      </c>
      <c r="N32" s="6" t="s">
        <v>1</v>
      </c>
      <c r="O32" s="13" t="s">
        <v>1</v>
      </c>
      <c r="P32" s="6" t="s">
        <v>1</v>
      </c>
    </row>
    <row r="33" spans="1:16" x14ac:dyDescent="0.25">
      <c r="A33" s="7" t="s">
        <v>235</v>
      </c>
      <c r="B33" s="6" t="s">
        <v>31</v>
      </c>
      <c r="C33" s="6" t="s">
        <v>220</v>
      </c>
      <c r="D33" s="6" t="s">
        <v>236</v>
      </c>
      <c r="E33" s="7" t="s">
        <v>53</v>
      </c>
      <c r="F33" s="7" t="s">
        <v>50</v>
      </c>
      <c r="G33" s="6" t="s">
        <v>237</v>
      </c>
      <c r="H33" s="6" t="s">
        <v>238</v>
      </c>
      <c r="I33" s="6" t="s">
        <v>88</v>
      </c>
      <c r="J33" s="6" t="s">
        <v>239</v>
      </c>
      <c r="K33" s="7" t="s">
        <v>85</v>
      </c>
      <c r="L33" s="6" t="s">
        <v>1</v>
      </c>
      <c r="M33" s="7" t="s">
        <v>27</v>
      </c>
      <c r="N33" s="6" t="s">
        <v>1</v>
      </c>
      <c r="O33" s="13" t="s">
        <v>1</v>
      </c>
      <c r="P33" s="6" t="s">
        <v>1</v>
      </c>
    </row>
    <row r="34" spans="1:16" x14ac:dyDescent="0.25">
      <c r="A34" s="7" t="s">
        <v>240</v>
      </c>
      <c r="B34" s="6" t="s">
        <v>31</v>
      </c>
      <c r="C34" s="6" t="s">
        <v>241</v>
      </c>
      <c r="D34" s="6" t="s">
        <v>242</v>
      </c>
      <c r="E34" s="7" t="s">
        <v>56</v>
      </c>
      <c r="F34" s="7" t="s">
        <v>49</v>
      </c>
      <c r="G34" s="6" t="s">
        <v>243</v>
      </c>
      <c r="H34" s="6" t="s">
        <v>244</v>
      </c>
      <c r="I34" s="6" t="s">
        <v>88</v>
      </c>
      <c r="J34" s="6" t="s">
        <v>245</v>
      </c>
      <c r="K34" s="7" t="s">
        <v>85</v>
      </c>
      <c r="L34" s="6" t="s">
        <v>1</v>
      </c>
      <c r="M34" s="7" t="s">
        <v>27</v>
      </c>
      <c r="N34" s="6" t="s">
        <v>1</v>
      </c>
      <c r="O34" s="13" t="s">
        <v>1</v>
      </c>
      <c r="P34" s="6" t="s">
        <v>1</v>
      </c>
    </row>
    <row r="35" spans="1:16" x14ac:dyDescent="0.25">
      <c r="A35" s="7" t="s">
        <v>246</v>
      </c>
      <c r="B35" s="6" t="s">
        <v>31</v>
      </c>
      <c r="C35" s="6" t="s">
        <v>247</v>
      </c>
      <c r="D35" s="6" t="s">
        <v>248</v>
      </c>
      <c r="E35" s="7" t="s">
        <v>56</v>
      </c>
      <c r="F35" s="7" t="s">
        <v>50</v>
      </c>
      <c r="G35" s="6" t="s">
        <v>88</v>
      </c>
      <c r="H35" s="6" t="s">
        <v>249</v>
      </c>
      <c r="I35" s="6" t="s">
        <v>88</v>
      </c>
      <c r="J35" s="6" t="s">
        <v>250</v>
      </c>
      <c r="K35" s="7" t="s">
        <v>85</v>
      </c>
      <c r="L35" s="6" t="s">
        <v>1</v>
      </c>
      <c r="M35" s="7" t="s">
        <v>27</v>
      </c>
      <c r="N35" s="6" t="s">
        <v>1</v>
      </c>
      <c r="O35" s="13" t="s">
        <v>1</v>
      </c>
      <c r="P35" s="6" t="s">
        <v>1</v>
      </c>
    </row>
    <row r="36" spans="1:16" x14ac:dyDescent="0.25">
      <c r="A36" s="7" t="s">
        <v>251</v>
      </c>
      <c r="B36" s="6" t="s">
        <v>31</v>
      </c>
      <c r="C36" s="6" t="s">
        <v>247</v>
      </c>
      <c r="D36" s="6" t="s">
        <v>252</v>
      </c>
      <c r="E36" s="7" t="s">
        <v>56</v>
      </c>
      <c r="F36" s="7" t="s">
        <v>50</v>
      </c>
      <c r="G36" s="6" t="s">
        <v>253</v>
      </c>
      <c r="H36" s="6" t="s">
        <v>249</v>
      </c>
      <c r="I36" s="6" t="s">
        <v>88</v>
      </c>
      <c r="J36" s="6" t="s">
        <v>254</v>
      </c>
      <c r="K36" s="7" t="s">
        <v>85</v>
      </c>
      <c r="L36" s="6" t="s">
        <v>1</v>
      </c>
      <c r="M36" s="7" t="s">
        <v>27</v>
      </c>
      <c r="N36" s="6" t="s">
        <v>1</v>
      </c>
      <c r="O36" s="13" t="s">
        <v>1</v>
      </c>
      <c r="P36" s="6" t="s">
        <v>1</v>
      </c>
    </row>
    <row r="37" spans="1:16" x14ac:dyDescent="0.25">
      <c r="A37" s="7" t="s">
        <v>255</v>
      </c>
      <c r="B37" s="6" t="s">
        <v>31</v>
      </c>
      <c r="C37" s="6" t="s">
        <v>247</v>
      </c>
      <c r="D37" s="6" t="s">
        <v>256</v>
      </c>
      <c r="E37" s="7" t="s">
        <v>56</v>
      </c>
      <c r="F37" s="7" t="s">
        <v>50</v>
      </c>
      <c r="G37" s="6" t="s">
        <v>257</v>
      </c>
      <c r="H37" s="6" t="s">
        <v>258</v>
      </c>
      <c r="I37" s="6" t="s">
        <v>88</v>
      </c>
      <c r="J37" s="6" t="s">
        <v>259</v>
      </c>
      <c r="K37" s="7" t="s">
        <v>85</v>
      </c>
      <c r="L37" s="6" t="s">
        <v>1</v>
      </c>
      <c r="M37" s="7" t="s">
        <v>27</v>
      </c>
      <c r="N37" s="6" t="s">
        <v>1</v>
      </c>
      <c r="O37" s="13" t="s">
        <v>1</v>
      </c>
      <c r="P37" s="6" t="s">
        <v>1</v>
      </c>
    </row>
    <row r="38" spans="1:16" x14ac:dyDescent="0.25">
      <c r="A38" s="7" t="s">
        <v>260</v>
      </c>
      <c r="B38" s="6" t="s">
        <v>31</v>
      </c>
      <c r="C38" s="6" t="s">
        <v>261</v>
      </c>
      <c r="D38" s="6" t="s">
        <v>262</v>
      </c>
      <c r="E38" s="7" t="s">
        <v>56</v>
      </c>
      <c r="F38" s="7" t="s">
        <v>50</v>
      </c>
      <c r="G38" s="6" t="s">
        <v>263</v>
      </c>
      <c r="H38" s="6" t="s">
        <v>264</v>
      </c>
      <c r="I38" s="6" t="s">
        <v>88</v>
      </c>
      <c r="J38" s="6" t="s">
        <v>265</v>
      </c>
      <c r="K38" s="7" t="s">
        <v>85</v>
      </c>
      <c r="L38" s="6" t="s">
        <v>1</v>
      </c>
      <c r="M38" s="7" t="s">
        <v>27</v>
      </c>
      <c r="N38" s="6" t="s">
        <v>1</v>
      </c>
      <c r="O38" s="13" t="s">
        <v>1</v>
      </c>
      <c r="P38" s="6" t="s">
        <v>1</v>
      </c>
    </row>
    <row r="39" spans="1:16" x14ac:dyDescent="0.25">
      <c r="A39" s="7" t="s">
        <v>266</v>
      </c>
      <c r="B39" s="6" t="s">
        <v>31</v>
      </c>
      <c r="C39" s="6" t="s">
        <v>267</v>
      </c>
      <c r="D39" s="6" t="s">
        <v>268</v>
      </c>
      <c r="E39" s="7" t="s">
        <v>61</v>
      </c>
      <c r="F39" s="7" t="s">
        <v>50</v>
      </c>
      <c r="G39" s="6" t="s">
        <v>269</v>
      </c>
      <c r="H39" s="6" t="s">
        <v>270</v>
      </c>
      <c r="I39" s="6" t="s">
        <v>88</v>
      </c>
      <c r="J39" s="6" t="s">
        <v>271</v>
      </c>
      <c r="K39" s="7" t="s">
        <v>85</v>
      </c>
      <c r="L39" s="6" t="s">
        <v>1</v>
      </c>
      <c r="M39" s="7" t="s">
        <v>27</v>
      </c>
      <c r="N39" s="6" t="s">
        <v>1</v>
      </c>
      <c r="O39" s="13" t="s">
        <v>1</v>
      </c>
      <c r="P39" s="6" t="s">
        <v>1</v>
      </c>
    </row>
    <row r="40" spans="1:16" x14ac:dyDescent="0.25">
      <c r="A40" s="7" t="s">
        <v>272</v>
      </c>
      <c r="B40" s="6" t="s">
        <v>31</v>
      </c>
      <c r="C40" s="6" t="s">
        <v>273</v>
      </c>
      <c r="D40" s="6" t="s">
        <v>274</v>
      </c>
      <c r="E40" s="7" t="s">
        <v>58</v>
      </c>
      <c r="F40" s="7" t="s">
        <v>49</v>
      </c>
      <c r="G40" s="6" t="s">
        <v>275</v>
      </c>
      <c r="H40" s="6" t="s">
        <v>163</v>
      </c>
      <c r="I40" s="6" t="s">
        <v>88</v>
      </c>
      <c r="J40" s="6" t="s">
        <v>276</v>
      </c>
      <c r="K40" s="7" t="s">
        <v>85</v>
      </c>
      <c r="L40" s="6" t="s">
        <v>1</v>
      </c>
      <c r="M40" s="7" t="s">
        <v>27</v>
      </c>
      <c r="N40" s="6" t="s">
        <v>1</v>
      </c>
      <c r="O40" s="13" t="s">
        <v>1</v>
      </c>
      <c r="P40" s="6" t="s">
        <v>1</v>
      </c>
    </row>
    <row r="41" spans="1:16" x14ac:dyDescent="0.25">
      <c r="A41" s="7" t="s">
        <v>277</v>
      </c>
      <c r="B41" s="6" t="s">
        <v>31</v>
      </c>
      <c r="C41" s="6" t="s">
        <v>278</v>
      </c>
      <c r="D41" s="6" t="s">
        <v>279</v>
      </c>
      <c r="E41" s="7" t="s">
        <v>61</v>
      </c>
      <c r="F41" s="7" t="s">
        <v>51</v>
      </c>
      <c r="G41" s="6" t="s">
        <v>88</v>
      </c>
      <c r="H41" s="6" t="s">
        <v>163</v>
      </c>
      <c r="I41" s="6" t="s">
        <v>88</v>
      </c>
      <c r="J41" s="6" t="s">
        <v>280</v>
      </c>
      <c r="K41" s="7" t="s">
        <v>85</v>
      </c>
      <c r="L41" s="6" t="s">
        <v>1</v>
      </c>
      <c r="M41" s="7" t="s">
        <v>27</v>
      </c>
      <c r="N41" s="6" t="s">
        <v>1</v>
      </c>
      <c r="O41" s="13" t="s">
        <v>1</v>
      </c>
      <c r="P41" s="6" t="s">
        <v>1</v>
      </c>
    </row>
    <row r="42" spans="1:16" x14ac:dyDescent="0.25">
      <c r="A42" s="7" t="s">
        <v>281</v>
      </c>
      <c r="B42" s="6" t="s">
        <v>32</v>
      </c>
      <c r="C42" s="6" t="s">
        <v>282</v>
      </c>
      <c r="D42" s="6" t="s">
        <v>283</v>
      </c>
      <c r="E42" s="7" t="s">
        <v>61</v>
      </c>
      <c r="F42" s="7" t="s">
        <v>49</v>
      </c>
      <c r="G42" s="6" t="s">
        <v>88</v>
      </c>
      <c r="H42" s="6" t="s">
        <v>284</v>
      </c>
      <c r="I42" s="6" t="s">
        <v>88</v>
      </c>
      <c r="J42" s="6" t="s">
        <v>285</v>
      </c>
      <c r="K42" s="7" t="s">
        <v>85</v>
      </c>
      <c r="L42" s="6" t="s">
        <v>1</v>
      </c>
      <c r="M42" s="7" t="s">
        <v>27</v>
      </c>
      <c r="N42" s="6" t="s">
        <v>1</v>
      </c>
      <c r="O42" s="13" t="s">
        <v>1</v>
      </c>
      <c r="P42" s="6" t="s">
        <v>1</v>
      </c>
    </row>
    <row r="43" spans="1:16" x14ac:dyDescent="0.25">
      <c r="A43" s="7" t="s">
        <v>286</v>
      </c>
      <c r="B43" s="6" t="s">
        <v>32</v>
      </c>
      <c r="C43" s="6" t="s">
        <v>287</v>
      </c>
      <c r="D43" s="6" t="s">
        <v>288</v>
      </c>
      <c r="E43" s="7" t="s">
        <v>56</v>
      </c>
      <c r="F43" s="7" t="s">
        <v>49</v>
      </c>
      <c r="G43" s="6" t="s">
        <v>88</v>
      </c>
      <c r="H43" s="6" t="s">
        <v>289</v>
      </c>
      <c r="I43" s="6" t="s">
        <v>88</v>
      </c>
      <c r="J43" s="6" t="s">
        <v>290</v>
      </c>
      <c r="K43" s="7" t="s">
        <v>85</v>
      </c>
      <c r="L43" s="6" t="s">
        <v>1</v>
      </c>
      <c r="M43" s="7" t="s">
        <v>27</v>
      </c>
      <c r="N43" s="6" t="s">
        <v>1</v>
      </c>
      <c r="O43" s="13" t="s">
        <v>1</v>
      </c>
      <c r="P43" s="6" t="s">
        <v>1</v>
      </c>
    </row>
    <row r="44" spans="1:16" x14ac:dyDescent="0.25">
      <c r="A44" s="7" t="s">
        <v>291</v>
      </c>
      <c r="B44" s="6" t="s">
        <v>32</v>
      </c>
      <c r="C44" s="6" t="s">
        <v>292</v>
      </c>
      <c r="D44" s="6" t="s">
        <v>293</v>
      </c>
      <c r="E44" s="7" t="s">
        <v>56</v>
      </c>
      <c r="F44" s="7" t="s">
        <v>48</v>
      </c>
      <c r="G44" s="6" t="s">
        <v>88</v>
      </c>
      <c r="H44" s="6" t="s">
        <v>294</v>
      </c>
      <c r="I44" s="6" t="s">
        <v>295</v>
      </c>
      <c r="J44" s="6" t="s">
        <v>296</v>
      </c>
      <c r="K44" s="7" t="s">
        <v>85</v>
      </c>
      <c r="L44" s="6" t="s">
        <v>1</v>
      </c>
      <c r="M44" s="7" t="s">
        <v>27</v>
      </c>
      <c r="N44" s="6" t="s">
        <v>1</v>
      </c>
      <c r="O44" s="13" t="s">
        <v>1</v>
      </c>
      <c r="P44" s="6" t="s">
        <v>1</v>
      </c>
    </row>
    <row r="45" spans="1:16" x14ac:dyDescent="0.25">
      <c r="A45" s="7" t="s">
        <v>297</v>
      </c>
      <c r="B45" s="6" t="s">
        <v>32</v>
      </c>
      <c r="C45" s="6" t="s">
        <v>292</v>
      </c>
      <c r="D45" s="6" t="s">
        <v>298</v>
      </c>
      <c r="E45" s="7" t="s">
        <v>61</v>
      </c>
      <c r="F45" s="7" t="s">
        <v>50</v>
      </c>
      <c r="G45" s="6" t="s">
        <v>88</v>
      </c>
      <c r="H45" s="6" t="s">
        <v>299</v>
      </c>
      <c r="I45" s="6" t="s">
        <v>295</v>
      </c>
      <c r="J45" s="6" t="s">
        <v>300</v>
      </c>
      <c r="K45" s="7" t="s">
        <v>85</v>
      </c>
      <c r="L45" s="6" t="s">
        <v>1</v>
      </c>
      <c r="M45" s="7" t="s">
        <v>27</v>
      </c>
      <c r="N45" s="6" t="s">
        <v>1</v>
      </c>
      <c r="O45" s="13" t="s">
        <v>1</v>
      </c>
      <c r="P45" s="6" t="s">
        <v>1</v>
      </c>
    </row>
    <row r="46" spans="1:16" x14ac:dyDescent="0.25">
      <c r="A46" s="7" t="s">
        <v>301</v>
      </c>
      <c r="B46" s="6" t="s">
        <v>32</v>
      </c>
      <c r="C46" s="6" t="s">
        <v>292</v>
      </c>
      <c r="D46" s="6" t="s">
        <v>302</v>
      </c>
      <c r="E46" s="7" t="s">
        <v>56</v>
      </c>
      <c r="F46" s="7" t="s">
        <v>51</v>
      </c>
      <c r="G46" s="6" t="s">
        <v>303</v>
      </c>
      <c r="H46" s="6" t="s">
        <v>304</v>
      </c>
      <c r="I46" s="6" t="s">
        <v>88</v>
      </c>
      <c r="J46" s="6" t="s">
        <v>305</v>
      </c>
      <c r="K46" s="7" t="s">
        <v>85</v>
      </c>
      <c r="L46" s="6" t="s">
        <v>1</v>
      </c>
      <c r="M46" s="7" t="s">
        <v>27</v>
      </c>
      <c r="N46" s="6" t="s">
        <v>1</v>
      </c>
      <c r="O46" s="13" t="s">
        <v>1</v>
      </c>
      <c r="P46" s="6" t="s">
        <v>1</v>
      </c>
    </row>
    <row r="47" spans="1:16" x14ac:dyDescent="0.25">
      <c r="A47" s="7" t="s">
        <v>306</v>
      </c>
      <c r="B47" s="6" t="s">
        <v>32</v>
      </c>
      <c r="C47" s="6" t="s">
        <v>292</v>
      </c>
      <c r="D47" s="6" t="s">
        <v>307</v>
      </c>
      <c r="E47" s="7" t="s">
        <v>63</v>
      </c>
      <c r="F47" s="7" t="s">
        <v>49</v>
      </c>
      <c r="G47" s="6" t="s">
        <v>88</v>
      </c>
      <c r="H47" s="6" t="s">
        <v>308</v>
      </c>
      <c r="I47" s="6" t="s">
        <v>88</v>
      </c>
      <c r="J47" s="6" t="s">
        <v>309</v>
      </c>
      <c r="K47" s="7" t="s">
        <v>85</v>
      </c>
      <c r="L47" s="6" t="s">
        <v>1</v>
      </c>
      <c r="M47" s="7" t="s">
        <v>27</v>
      </c>
      <c r="N47" s="6" t="s">
        <v>1</v>
      </c>
      <c r="O47" s="13" t="s">
        <v>1</v>
      </c>
      <c r="P47" s="6" t="s">
        <v>1</v>
      </c>
    </row>
    <row r="48" spans="1:16" x14ac:dyDescent="0.25">
      <c r="A48" s="7" t="s">
        <v>310</v>
      </c>
      <c r="B48" s="6" t="s">
        <v>32</v>
      </c>
      <c r="C48" s="6" t="s">
        <v>292</v>
      </c>
      <c r="D48" s="6" t="s">
        <v>311</v>
      </c>
      <c r="E48" s="7" t="s">
        <v>58</v>
      </c>
      <c r="F48" s="7" t="s">
        <v>48</v>
      </c>
      <c r="G48" s="6" t="s">
        <v>88</v>
      </c>
      <c r="H48" s="6" t="s">
        <v>312</v>
      </c>
      <c r="I48" s="6" t="s">
        <v>313</v>
      </c>
      <c r="J48" s="6" t="s">
        <v>314</v>
      </c>
      <c r="K48" s="7" t="s">
        <v>85</v>
      </c>
      <c r="L48" s="6" t="s">
        <v>1</v>
      </c>
      <c r="M48" s="7" t="s">
        <v>27</v>
      </c>
      <c r="N48" s="6" t="s">
        <v>1</v>
      </c>
      <c r="O48" s="13" t="s">
        <v>1</v>
      </c>
      <c r="P48" s="6" t="s">
        <v>1</v>
      </c>
    </row>
    <row r="49" spans="1:16" x14ac:dyDescent="0.25">
      <c r="A49" s="7" t="s">
        <v>315</v>
      </c>
      <c r="B49" s="6" t="s">
        <v>32</v>
      </c>
      <c r="C49" s="6" t="s">
        <v>292</v>
      </c>
      <c r="D49" s="6" t="s">
        <v>316</v>
      </c>
      <c r="E49" s="7" t="s">
        <v>53</v>
      </c>
      <c r="F49" s="7" t="s">
        <v>49</v>
      </c>
      <c r="G49" s="6" t="s">
        <v>88</v>
      </c>
      <c r="H49" s="6" t="s">
        <v>317</v>
      </c>
      <c r="I49" s="6" t="s">
        <v>318</v>
      </c>
      <c r="J49" s="6" t="s">
        <v>319</v>
      </c>
      <c r="K49" s="7" t="s">
        <v>85</v>
      </c>
      <c r="L49" s="6" t="s">
        <v>1</v>
      </c>
      <c r="M49" s="7" t="s">
        <v>27</v>
      </c>
      <c r="N49" s="6" t="s">
        <v>1</v>
      </c>
      <c r="O49" s="13" t="s">
        <v>1</v>
      </c>
      <c r="P49" s="6" t="s">
        <v>1</v>
      </c>
    </row>
    <row r="50" spans="1:16" x14ac:dyDescent="0.25">
      <c r="A50" s="7" t="s">
        <v>320</v>
      </c>
      <c r="B50" s="6" t="s">
        <v>32</v>
      </c>
      <c r="C50" s="6" t="s">
        <v>292</v>
      </c>
      <c r="D50" s="6" t="s">
        <v>321</v>
      </c>
      <c r="E50" s="7" t="s">
        <v>58</v>
      </c>
      <c r="F50" s="7" t="s">
        <v>48</v>
      </c>
      <c r="G50" s="6" t="s">
        <v>88</v>
      </c>
      <c r="H50" s="6" t="s">
        <v>322</v>
      </c>
      <c r="I50" s="6" t="s">
        <v>323</v>
      </c>
      <c r="J50" s="6" t="s">
        <v>324</v>
      </c>
      <c r="K50" s="7" t="s">
        <v>85</v>
      </c>
      <c r="L50" s="6" t="s">
        <v>1</v>
      </c>
      <c r="M50" s="7" t="s">
        <v>27</v>
      </c>
      <c r="N50" s="6" t="s">
        <v>1</v>
      </c>
      <c r="O50" s="13" t="s">
        <v>1</v>
      </c>
      <c r="P50" s="6" t="s">
        <v>1</v>
      </c>
    </row>
    <row r="51" spans="1:16" x14ac:dyDescent="0.25">
      <c r="A51" s="7" t="s">
        <v>325</v>
      </c>
      <c r="B51" s="6" t="s">
        <v>32</v>
      </c>
      <c r="C51" s="6" t="s">
        <v>292</v>
      </c>
      <c r="D51" s="6" t="s">
        <v>326</v>
      </c>
      <c r="E51" s="7" t="s">
        <v>58</v>
      </c>
      <c r="F51" s="7" t="s">
        <v>49</v>
      </c>
      <c r="G51" s="6" t="s">
        <v>88</v>
      </c>
      <c r="H51" s="6" t="s">
        <v>327</v>
      </c>
      <c r="I51" s="6" t="s">
        <v>328</v>
      </c>
      <c r="J51" s="6" t="s">
        <v>329</v>
      </c>
      <c r="K51" s="7" t="s">
        <v>85</v>
      </c>
      <c r="L51" s="6" t="s">
        <v>1</v>
      </c>
      <c r="M51" s="7" t="s">
        <v>27</v>
      </c>
      <c r="N51" s="6" t="s">
        <v>1</v>
      </c>
      <c r="O51" s="13" t="s">
        <v>1</v>
      </c>
      <c r="P51" s="6" t="s">
        <v>1</v>
      </c>
    </row>
    <row r="52" spans="1:16" x14ac:dyDescent="0.25">
      <c r="A52" s="7" t="s">
        <v>330</v>
      </c>
      <c r="B52" s="6" t="s">
        <v>32</v>
      </c>
      <c r="C52" s="6" t="s">
        <v>292</v>
      </c>
      <c r="D52" s="6" t="s">
        <v>331</v>
      </c>
      <c r="E52" s="7" t="s">
        <v>58</v>
      </c>
      <c r="F52" s="7" t="s">
        <v>49</v>
      </c>
      <c r="G52" s="6" t="s">
        <v>88</v>
      </c>
      <c r="H52" s="6" t="s">
        <v>332</v>
      </c>
      <c r="I52" s="6" t="s">
        <v>333</v>
      </c>
      <c r="J52" s="6" t="s">
        <v>334</v>
      </c>
      <c r="K52" s="7" t="s">
        <v>85</v>
      </c>
      <c r="L52" s="6" t="s">
        <v>1</v>
      </c>
      <c r="M52" s="7" t="s">
        <v>27</v>
      </c>
      <c r="N52" s="6" t="s">
        <v>1</v>
      </c>
      <c r="O52" s="13" t="s">
        <v>1</v>
      </c>
      <c r="P52" s="6" t="s">
        <v>1</v>
      </c>
    </row>
    <row r="53" spans="1:16" x14ac:dyDescent="0.25">
      <c r="A53" s="7" t="s">
        <v>335</v>
      </c>
      <c r="B53" s="6" t="s">
        <v>32</v>
      </c>
      <c r="C53" s="6" t="s">
        <v>292</v>
      </c>
      <c r="D53" s="6" t="s">
        <v>336</v>
      </c>
      <c r="E53" s="7" t="s">
        <v>53</v>
      </c>
      <c r="F53" s="7" t="s">
        <v>49</v>
      </c>
      <c r="G53" s="6" t="s">
        <v>88</v>
      </c>
      <c r="H53" s="6" t="s">
        <v>337</v>
      </c>
      <c r="I53" s="6" t="s">
        <v>338</v>
      </c>
      <c r="J53" s="6" t="s">
        <v>339</v>
      </c>
      <c r="K53" s="7" t="s">
        <v>85</v>
      </c>
      <c r="L53" s="6" t="s">
        <v>1</v>
      </c>
      <c r="M53" s="7" t="s">
        <v>27</v>
      </c>
      <c r="N53" s="6" t="s">
        <v>1</v>
      </c>
      <c r="O53" s="13" t="s">
        <v>1</v>
      </c>
      <c r="P53" s="6" t="s">
        <v>1</v>
      </c>
    </row>
    <row r="54" spans="1:16" x14ac:dyDescent="0.25">
      <c r="A54" s="7" t="s">
        <v>340</v>
      </c>
      <c r="B54" s="6" t="s">
        <v>32</v>
      </c>
      <c r="C54" s="6" t="s">
        <v>292</v>
      </c>
      <c r="D54" s="6" t="s">
        <v>341</v>
      </c>
      <c r="E54" s="7" t="s">
        <v>56</v>
      </c>
      <c r="F54" s="7" t="s">
        <v>49</v>
      </c>
      <c r="G54" s="6" t="s">
        <v>88</v>
      </c>
      <c r="H54" s="6" t="s">
        <v>342</v>
      </c>
      <c r="I54" s="6" t="s">
        <v>343</v>
      </c>
      <c r="J54" s="6" t="s">
        <v>344</v>
      </c>
      <c r="K54" s="7" t="s">
        <v>85</v>
      </c>
      <c r="L54" s="6" t="s">
        <v>1</v>
      </c>
      <c r="M54" s="7" t="s">
        <v>27</v>
      </c>
      <c r="N54" s="6" t="s">
        <v>1</v>
      </c>
      <c r="O54" s="13" t="s">
        <v>1</v>
      </c>
      <c r="P54" s="6" t="s">
        <v>1</v>
      </c>
    </row>
    <row r="55" spans="1:16" x14ac:dyDescent="0.25">
      <c r="A55" s="7" t="s">
        <v>345</v>
      </c>
      <c r="B55" s="6" t="s">
        <v>32</v>
      </c>
      <c r="C55" s="6" t="s">
        <v>346</v>
      </c>
      <c r="D55" s="6" t="s">
        <v>347</v>
      </c>
      <c r="E55" s="7" t="s">
        <v>56</v>
      </c>
      <c r="F55" s="7" t="s">
        <v>48</v>
      </c>
      <c r="G55" s="6" t="s">
        <v>348</v>
      </c>
      <c r="H55" s="6" t="s">
        <v>349</v>
      </c>
      <c r="I55" s="6" t="s">
        <v>295</v>
      </c>
      <c r="J55" s="6" t="s">
        <v>350</v>
      </c>
      <c r="K55" s="7" t="s">
        <v>85</v>
      </c>
      <c r="L55" s="6" t="s">
        <v>1</v>
      </c>
      <c r="M55" s="7" t="s">
        <v>27</v>
      </c>
      <c r="N55" s="6" t="s">
        <v>1</v>
      </c>
      <c r="O55" s="13" t="s">
        <v>1</v>
      </c>
      <c r="P55" s="6" t="s">
        <v>1</v>
      </c>
    </row>
    <row r="56" spans="1:16" x14ac:dyDescent="0.25">
      <c r="A56" s="7" t="s">
        <v>351</v>
      </c>
      <c r="B56" s="6" t="s">
        <v>32</v>
      </c>
      <c r="C56" s="6" t="s">
        <v>346</v>
      </c>
      <c r="D56" s="6" t="s">
        <v>352</v>
      </c>
      <c r="E56" s="7" t="s">
        <v>61</v>
      </c>
      <c r="F56" s="7" t="s">
        <v>48</v>
      </c>
      <c r="G56" s="6" t="s">
        <v>88</v>
      </c>
      <c r="H56" s="6" t="s">
        <v>353</v>
      </c>
      <c r="I56" s="6" t="s">
        <v>295</v>
      </c>
      <c r="J56" s="6" t="s">
        <v>354</v>
      </c>
      <c r="K56" s="7" t="s">
        <v>85</v>
      </c>
      <c r="L56" s="6" t="s">
        <v>1</v>
      </c>
      <c r="M56" s="7" t="s">
        <v>27</v>
      </c>
      <c r="N56" s="6" t="s">
        <v>1</v>
      </c>
      <c r="O56" s="13" t="s">
        <v>1</v>
      </c>
      <c r="P56" s="6" t="s">
        <v>1</v>
      </c>
    </row>
    <row r="57" spans="1:16" x14ac:dyDescent="0.25">
      <c r="A57" s="7" t="s">
        <v>355</v>
      </c>
      <c r="B57" s="6" t="s">
        <v>32</v>
      </c>
      <c r="C57" s="6" t="s">
        <v>346</v>
      </c>
      <c r="D57" s="6" t="s">
        <v>356</v>
      </c>
      <c r="E57" s="7" t="s">
        <v>61</v>
      </c>
      <c r="F57" s="7" t="s">
        <v>50</v>
      </c>
      <c r="G57" s="6" t="s">
        <v>88</v>
      </c>
      <c r="H57" s="6" t="s">
        <v>357</v>
      </c>
      <c r="I57" s="6" t="s">
        <v>88</v>
      </c>
      <c r="J57" s="6" t="s">
        <v>358</v>
      </c>
      <c r="K57" s="7" t="s">
        <v>85</v>
      </c>
      <c r="L57" s="6" t="s">
        <v>1</v>
      </c>
      <c r="M57" s="7" t="s">
        <v>27</v>
      </c>
      <c r="N57" s="6" t="s">
        <v>1</v>
      </c>
      <c r="O57" s="13" t="s">
        <v>1</v>
      </c>
      <c r="P57" s="6" t="s">
        <v>1</v>
      </c>
    </row>
    <row r="58" spans="1:16" x14ac:dyDescent="0.25">
      <c r="A58" s="7" t="s">
        <v>359</v>
      </c>
      <c r="B58" s="6" t="s">
        <v>32</v>
      </c>
      <c r="C58" s="6" t="s">
        <v>346</v>
      </c>
      <c r="D58" s="6" t="s">
        <v>360</v>
      </c>
      <c r="E58" s="7" t="s">
        <v>61</v>
      </c>
      <c r="F58" s="7" t="s">
        <v>50</v>
      </c>
      <c r="G58" s="6" t="s">
        <v>361</v>
      </c>
      <c r="H58" s="6" t="s">
        <v>362</v>
      </c>
      <c r="I58" s="6" t="s">
        <v>88</v>
      </c>
      <c r="J58" s="6" t="s">
        <v>363</v>
      </c>
      <c r="K58" s="7" t="s">
        <v>85</v>
      </c>
      <c r="L58" s="6" t="s">
        <v>1</v>
      </c>
      <c r="M58" s="7" t="s">
        <v>27</v>
      </c>
      <c r="N58" s="6" t="s">
        <v>1</v>
      </c>
      <c r="O58" s="13" t="s">
        <v>1</v>
      </c>
      <c r="P58" s="6" t="s">
        <v>1</v>
      </c>
    </row>
    <row r="59" spans="1:16" x14ac:dyDescent="0.25">
      <c r="A59" s="7" t="s">
        <v>364</v>
      </c>
      <c r="B59" s="6" t="s">
        <v>32</v>
      </c>
      <c r="C59" s="6" t="s">
        <v>346</v>
      </c>
      <c r="D59" s="6" t="s">
        <v>365</v>
      </c>
      <c r="E59" s="7" t="s">
        <v>61</v>
      </c>
      <c r="F59" s="7" t="s">
        <v>51</v>
      </c>
      <c r="G59" s="6" t="s">
        <v>88</v>
      </c>
      <c r="H59" s="6" t="s">
        <v>366</v>
      </c>
      <c r="I59" s="6" t="s">
        <v>367</v>
      </c>
      <c r="J59" s="6" t="s">
        <v>368</v>
      </c>
      <c r="K59" s="7" t="s">
        <v>85</v>
      </c>
      <c r="L59" s="6" t="s">
        <v>1</v>
      </c>
      <c r="M59" s="7" t="s">
        <v>27</v>
      </c>
      <c r="N59" s="6" t="s">
        <v>1</v>
      </c>
      <c r="O59" s="13" t="s">
        <v>1</v>
      </c>
      <c r="P59" s="6" t="s">
        <v>1</v>
      </c>
    </row>
    <row r="60" spans="1:16" x14ac:dyDescent="0.25">
      <c r="A60" s="7" t="s">
        <v>369</v>
      </c>
      <c r="B60" s="6" t="s">
        <v>32</v>
      </c>
      <c r="C60" s="6" t="s">
        <v>346</v>
      </c>
      <c r="D60" s="6" t="s">
        <v>370</v>
      </c>
      <c r="E60" s="7" t="s">
        <v>58</v>
      </c>
      <c r="F60" s="7" t="s">
        <v>50</v>
      </c>
      <c r="G60" s="6" t="s">
        <v>275</v>
      </c>
      <c r="H60" s="6" t="s">
        <v>371</v>
      </c>
      <c r="I60" s="6" t="s">
        <v>88</v>
      </c>
      <c r="J60" s="6" t="s">
        <v>372</v>
      </c>
      <c r="K60" s="7" t="s">
        <v>85</v>
      </c>
      <c r="L60" s="6" t="s">
        <v>1</v>
      </c>
      <c r="M60" s="7" t="s">
        <v>27</v>
      </c>
      <c r="N60" s="6" t="s">
        <v>1</v>
      </c>
      <c r="O60" s="13" t="s">
        <v>1</v>
      </c>
      <c r="P60" s="6" t="s">
        <v>1</v>
      </c>
    </row>
    <row r="61" spans="1:16" x14ac:dyDescent="0.25">
      <c r="A61" s="7" t="s">
        <v>373</v>
      </c>
      <c r="B61" s="6" t="s">
        <v>32</v>
      </c>
      <c r="C61" s="6" t="s">
        <v>374</v>
      </c>
      <c r="D61" s="6" t="s">
        <v>375</v>
      </c>
      <c r="E61" s="7" t="s">
        <v>56</v>
      </c>
      <c r="F61" s="7" t="s">
        <v>50</v>
      </c>
      <c r="G61" s="6" t="s">
        <v>376</v>
      </c>
      <c r="H61" s="6" t="s">
        <v>377</v>
      </c>
      <c r="I61" s="6" t="s">
        <v>88</v>
      </c>
      <c r="J61" s="6" t="s">
        <v>378</v>
      </c>
      <c r="K61" s="7" t="s">
        <v>85</v>
      </c>
      <c r="L61" s="6" t="s">
        <v>1</v>
      </c>
      <c r="M61" s="7" t="s">
        <v>27</v>
      </c>
      <c r="N61" s="6" t="s">
        <v>1</v>
      </c>
      <c r="O61" s="13" t="s">
        <v>1</v>
      </c>
      <c r="P61" s="6" t="s">
        <v>1</v>
      </c>
    </row>
    <row r="62" spans="1:16" x14ac:dyDescent="0.25">
      <c r="A62" s="7" t="s">
        <v>379</v>
      </c>
      <c r="B62" s="6" t="s">
        <v>32</v>
      </c>
      <c r="C62" s="6" t="s">
        <v>374</v>
      </c>
      <c r="D62" s="6" t="s">
        <v>380</v>
      </c>
      <c r="E62" s="7" t="s">
        <v>56</v>
      </c>
      <c r="F62" s="7" t="s">
        <v>49</v>
      </c>
      <c r="G62" s="6" t="s">
        <v>381</v>
      </c>
      <c r="H62" s="6" t="s">
        <v>382</v>
      </c>
      <c r="I62" s="6" t="s">
        <v>88</v>
      </c>
      <c r="J62" s="6" t="s">
        <v>383</v>
      </c>
      <c r="K62" s="7" t="s">
        <v>85</v>
      </c>
      <c r="L62" s="6" t="s">
        <v>1</v>
      </c>
      <c r="M62" s="7" t="s">
        <v>27</v>
      </c>
      <c r="N62" s="6" t="s">
        <v>1</v>
      </c>
      <c r="O62" s="13" t="s">
        <v>1</v>
      </c>
      <c r="P62" s="6" t="s">
        <v>1</v>
      </c>
    </row>
    <row r="63" spans="1:16" x14ac:dyDescent="0.25">
      <c r="A63" s="7" t="s">
        <v>384</v>
      </c>
      <c r="B63" s="6" t="s">
        <v>32</v>
      </c>
      <c r="C63" s="6" t="s">
        <v>374</v>
      </c>
      <c r="D63" s="6" t="s">
        <v>385</v>
      </c>
      <c r="E63" s="7" t="s">
        <v>56</v>
      </c>
      <c r="F63" s="7" t="s">
        <v>49</v>
      </c>
      <c r="G63" s="6" t="s">
        <v>386</v>
      </c>
      <c r="H63" s="6" t="s">
        <v>382</v>
      </c>
      <c r="I63" s="6" t="s">
        <v>88</v>
      </c>
      <c r="J63" s="6" t="s">
        <v>387</v>
      </c>
      <c r="K63" s="7" t="s">
        <v>85</v>
      </c>
      <c r="L63" s="6" t="s">
        <v>1</v>
      </c>
      <c r="M63" s="7" t="s">
        <v>27</v>
      </c>
      <c r="N63" s="6" t="s">
        <v>1</v>
      </c>
      <c r="O63" s="13" t="s">
        <v>1</v>
      </c>
      <c r="P63" s="6" t="s">
        <v>1</v>
      </c>
    </row>
    <row r="64" spans="1:16" x14ac:dyDescent="0.25">
      <c r="A64" s="7" t="s">
        <v>388</v>
      </c>
      <c r="B64" s="6" t="s">
        <v>32</v>
      </c>
      <c r="C64" s="6" t="s">
        <v>374</v>
      </c>
      <c r="D64" s="6" t="s">
        <v>389</v>
      </c>
      <c r="E64" s="7" t="s">
        <v>56</v>
      </c>
      <c r="F64" s="7" t="s">
        <v>51</v>
      </c>
      <c r="G64" s="6" t="s">
        <v>88</v>
      </c>
      <c r="H64" s="6" t="s">
        <v>390</v>
      </c>
      <c r="I64" s="6" t="s">
        <v>88</v>
      </c>
      <c r="J64" s="6" t="s">
        <v>391</v>
      </c>
      <c r="K64" s="7" t="s">
        <v>85</v>
      </c>
      <c r="L64" s="6" t="s">
        <v>1</v>
      </c>
      <c r="M64" s="7" t="s">
        <v>27</v>
      </c>
      <c r="N64" s="6" t="s">
        <v>1</v>
      </c>
      <c r="O64" s="13" t="s">
        <v>1</v>
      </c>
      <c r="P64" s="6" t="s">
        <v>1</v>
      </c>
    </row>
    <row r="65" spans="1:16" x14ac:dyDescent="0.25">
      <c r="A65" s="7" t="s">
        <v>392</v>
      </c>
      <c r="B65" s="6" t="s">
        <v>32</v>
      </c>
      <c r="C65" s="6" t="s">
        <v>393</v>
      </c>
      <c r="D65" s="6" t="s">
        <v>394</v>
      </c>
      <c r="E65" s="7" t="s">
        <v>61</v>
      </c>
      <c r="F65" s="7" t="s">
        <v>51</v>
      </c>
      <c r="G65" s="6" t="s">
        <v>88</v>
      </c>
      <c r="H65" s="6" t="s">
        <v>395</v>
      </c>
      <c r="I65" s="6" t="s">
        <v>88</v>
      </c>
      <c r="J65" s="6" t="s">
        <v>396</v>
      </c>
      <c r="K65" s="7" t="s">
        <v>85</v>
      </c>
      <c r="L65" s="6" t="s">
        <v>1</v>
      </c>
      <c r="M65" s="7" t="s">
        <v>27</v>
      </c>
      <c r="N65" s="6" t="s">
        <v>1</v>
      </c>
      <c r="O65" s="13" t="s">
        <v>1</v>
      </c>
      <c r="P65" s="6" t="s">
        <v>1</v>
      </c>
    </row>
    <row r="66" spans="1:16" x14ac:dyDescent="0.25">
      <c r="A66" s="7" t="s">
        <v>397</v>
      </c>
      <c r="B66" s="6" t="s">
        <v>32</v>
      </c>
      <c r="C66" s="6" t="s">
        <v>346</v>
      </c>
      <c r="D66" s="6" t="s">
        <v>398</v>
      </c>
      <c r="E66" s="7" t="s">
        <v>58</v>
      </c>
      <c r="F66" s="7" t="s">
        <v>49</v>
      </c>
      <c r="G66" s="6" t="s">
        <v>399</v>
      </c>
      <c r="H66" s="6" t="s">
        <v>400</v>
      </c>
      <c r="I66" s="6" t="s">
        <v>295</v>
      </c>
      <c r="J66" s="6" t="s">
        <v>401</v>
      </c>
      <c r="K66" s="7" t="s">
        <v>85</v>
      </c>
      <c r="L66" s="6" t="s">
        <v>1</v>
      </c>
      <c r="M66" s="7" t="s">
        <v>27</v>
      </c>
      <c r="N66" s="6" t="s">
        <v>1</v>
      </c>
      <c r="O66" s="13" t="s">
        <v>1</v>
      </c>
      <c r="P66" s="6" t="s">
        <v>1</v>
      </c>
    </row>
    <row r="67" spans="1:16" x14ac:dyDescent="0.25">
      <c r="A67" s="7" t="s">
        <v>402</v>
      </c>
      <c r="B67" s="6" t="s">
        <v>33</v>
      </c>
      <c r="C67" s="6" t="s">
        <v>403</v>
      </c>
      <c r="D67" s="6" t="s">
        <v>404</v>
      </c>
      <c r="E67" s="7" t="s">
        <v>56</v>
      </c>
      <c r="F67" s="7" t="s">
        <v>48</v>
      </c>
      <c r="G67" s="6" t="s">
        <v>405</v>
      </c>
      <c r="H67" s="6" t="s">
        <v>406</v>
      </c>
      <c r="I67" s="6" t="s">
        <v>407</v>
      </c>
      <c r="J67" s="6" t="s">
        <v>408</v>
      </c>
      <c r="K67" s="7" t="s">
        <v>85</v>
      </c>
      <c r="L67" s="6" t="s">
        <v>1</v>
      </c>
      <c r="M67" s="7" t="s">
        <v>27</v>
      </c>
      <c r="N67" s="6" t="s">
        <v>1</v>
      </c>
      <c r="O67" s="13" t="s">
        <v>1</v>
      </c>
      <c r="P67" s="6" t="s">
        <v>1</v>
      </c>
    </row>
    <row r="68" spans="1:16" x14ac:dyDescent="0.25">
      <c r="A68" s="7" t="s">
        <v>409</v>
      </c>
      <c r="B68" s="6" t="s">
        <v>33</v>
      </c>
      <c r="C68" s="6" t="s">
        <v>403</v>
      </c>
      <c r="D68" s="6" t="s">
        <v>410</v>
      </c>
      <c r="E68" s="7" t="s">
        <v>56</v>
      </c>
      <c r="F68" s="7" t="s">
        <v>49</v>
      </c>
      <c r="G68" s="6" t="s">
        <v>88</v>
      </c>
      <c r="H68" s="6" t="s">
        <v>411</v>
      </c>
      <c r="I68" s="6" t="s">
        <v>407</v>
      </c>
      <c r="J68" s="6" t="s">
        <v>412</v>
      </c>
      <c r="K68" s="7" t="s">
        <v>85</v>
      </c>
      <c r="L68" s="6" t="s">
        <v>1</v>
      </c>
      <c r="M68" s="7" t="s">
        <v>27</v>
      </c>
      <c r="N68" s="6" t="s">
        <v>1</v>
      </c>
      <c r="O68" s="13" t="s">
        <v>1</v>
      </c>
      <c r="P68" s="6" t="s">
        <v>1</v>
      </c>
    </row>
    <row r="69" spans="1:16" x14ac:dyDescent="0.25">
      <c r="A69" s="7" t="s">
        <v>413</v>
      </c>
      <c r="B69" s="6" t="s">
        <v>33</v>
      </c>
      <c r="C69" s="6" t="s">
        <v>403</v>
      </c>
      <c r="D69" s="6" t="s">
        <v>414</v>
      </c>
      <c r="E69" s="7" t="s">
        <v>56</v>
      </c>
      <c r="F69" s="7" t="s">
        <v>48</v>
      </c>
      <c r="G69" s="6" t="s">
        <v>88</v>
      </c>
      <c r="H69" s="6" t="s">
        <v>415</v>
      </c>
      <c r="I69" s="6" t="s">
        <v>407</v>
      </c>
      <c r="J69" s="6" t="s">
        <v>416</v>
      </c>
      <c r="K69" s="7" t="s">
        <v>85</v>
      </c>
      <c r="L69" s="6" t="s">
        <v>1</v>
      </c>
      <c r="M69" s="7" t="s">
        <v>27</v>
      </c>
      <c r="N69" s="6" t="s">
        <v>1</v>
      </c>
      <c r="O69" s="13" t="s">
        <v>1</v>
      </c>
      <c r="P69" s="6" t="s">
        <v>1</v>
      </c>
    </row>
    <row r="70" spans="1:16" x14ac:dyDescent="0.25">
      <c r="A70" s="7" t="s">
        <v>417</v>
      </c>
      <c r="B70" s="6" t="s">
        <v>33</v>
      </c>
      <c r="C70" s="6" t="s">
        <v>403</v>
      </c>
      <c r="D70" s="6" t="s">
        <v>418</v>
      </c>
      <c r="E70" s="7" t="s">
        <v>56</v>
      </c>
      <c r="F70" s="7" t="s">
        <v>50</v>
      </c>
      <c r="G70" s="6" t="s">
        <v>88</v>
      </c>
      <c r="H70" s="6" t="s">
        <v>419</v>
      </c>
      <c r="I70" s="6" t="s">
        <v>407</v>
      </c>
      <c r="J70" s="6" t="s">
        <v>420</v>
      </c>
      <c r="K70" s="7" t="s">
        <v>85</v>
      </c>
      <c r="L70" s="6" t="s">
        <v>1</v>
      </c>
      <c r="M70" s="7" t="s">
        <v>27</v>
      </c>
      <c r="N70" s="6" t="s">
        <v>1</v>
      </c>
      <c r="O70" s="13" t="s">
        <v>1</v>
      </c>
      <c r="P70" s="6" t="s">
        <v>1</v>
      </c>
    </row>
    <row r="71" spans="1:16" x14ac:dyDescent="0.25">
      <c r="A71" s="7" t="s">
        <v>421</v>
      </c>
      <c r="B71" s="6" t="s">
        <v>33</v>
      </c>
      <c r="C71" s="6" t="s">
        <v>403</v>
      </c>
      <c r="D71" s="6" t="s">
        <v>422</v>
      </c>
      <c r="E71" s="7" t="s">
        <v>61</v>
      </c>
      <c r="F71" s="7" t="s">
        <v>51</v>
      </c>
      <c r="G71" s="6" t="s">
        <v>423</v>
      </c>
      <c r="H71" s="6" t="s">
        <v>424</v>
      </c>
      <c r="I71" s="6" t="s">
        <v>88</v>
      </c>
      <c r="J71" s="6" t="s">
        <v>425</v>
      </c>
      <c r="K71" s="7" t="s">
        <v>85</v>
      </c>
      <c r="L71" s="6" t="s">
        <v>1</v>
      </c>
      <c r="M71" s="7" t="s">
        <v>27</v>
      </c>
      <c r="N71" s="6" t="s">
        <v>1</v>
      </c>
      <c r="O71" s="13" t="s">
        <v>1</v>
      </c>
      <c r="P71" s="6" t="s">
        <v>1</v>
      </c>
    </row>
    <row r="72" spans="1:16" x14ac:dyDescent="0.25">
      <c r="A72" s="7" t="s">
        <v>426</v>
      </c>
      <c r="B72" s="6" t="s">
        <v>33</v>
      </c>
      <c r="C72" s="6" t="s">
        <v>403</v>
      </c>
      <c r="D72" s="6" t="s">
        <v>427</v>
      </c>
      <c r="E72" s="7" t="s">
        <v>61</v>
      </c>
      <c r="F72" s="7" t="s">
        <v>51</v>
      </c>
      <c r="G72" s="6" t="s">
        <v>269</v>
      </c>
      <c r="H72" s="6" t="s">
        <v>428</v>
      </c>
      <c r="I72" s="6" t="s">
        <v>88</v>
      </c>
      <c r="J72" s="6" t="s">
        <v>429</v>
      </c>
      <c r="K72" s="7" t="s">
        <v>85</v>
      </c>
      <c r="L72" s="6" t="s">
        <v>1</v>
      </c>
      <c r="M72" s="7" t="s">
        <v>27</v>
      </c>
      <c r="N72" s="6" t="s">
        <v>1</v>
      </c>
      <c r="O72" s="13" t="s">
        <v>1</v>
      </c>
      <c r="P72" s="6" t="s">
        <v>1</v>
      </c>
    </row>
    <row r="73" spans="1:16" x14ac:dyDescent="0.25">
      <c r="A73" s="7" t="s">
        <v>430</v>
      </c>
      <c r="B73" s="6" t="s">
        <v>33</v>
      </c>
      <c r="C73" s="6" t="s">
        <v>403</v>
      </c>
      <c r="D73" s="6" t="s">
        <v>431</v>
      </c>
      <c r="E73" s="7" t="s">
        <v>56</v>
      </c>
      <c r="F73" s="7" t="s">
        <v>50</v>
      </c>
      <c r="G73" s="6" t="s">
        <v>376</v>
      </c>
      <c r="H73" s="6" t="s">
        <v>432</v>
      </c>
      <c r="I73" s="6" t="s">
        <v>88</v>
      </c>
      <c r="J73" s="6" t="s">
        <v>433</v>
      </c>
      <c r="K73" s="7" t="s">
        <v>85</v>
      </c>
      <c r="L73" s="6" t="s">
        <v>1</v>
      </c>
      <c r="M73" s="7" t="s">
        <v>27</v>
      </c>
      <c r="N73" s="6" t="s">
        <v>1</v>
      </c>
      <c r="O73" s="13" t="s">
        <v>1</v>
      </c>
      <c r="P73" s="6" t="s">
        <v>1</v>
      </c>
    </row>
    <row r="74" spans="1:16" x14ac:dyDescent="0.25">
      <c r="A74" s="7" t="s">
        <v>434</v>
      </c>
      <c r="B74" s="6" t="s">
        <v>33</v>
      </c>
      <c r="C74" s="6" t="s">
        <v>403</v>
      </c>
      <c r="D74" s="6" t="s">
        <v>435</v>
      </c>
      <c r="E74" s="7" t="s">
        <v>56</v>
      </c>
      <c r="F74" s="7" t="s">
        <v>50</v>
      </c>
      <c r="G74" s="6" t="s">
        <v>436</v>
      </c>
      <c r="H74" s="6" t="s">
        <v>437</v>
      </c>
      <c r="I74" s="6" t="s">
        <v>367</v>
      </c>
      <c r="J74" s="6" t="s">
        <v>438</v>
      </c>
      <c r="K74" s="7" t="s">
        <v>85</v>
      </c>
      <c r="L74" s="6" t="s">
        <v>1</v>
      </c>
      <c r="M74" s="7" t="s">
        <v>27</v>
      </c>
      <c r="N74" s="6" t="s">
        <v>1</v>
      </c>
      <c r="O74" s="13" t="s">
        <v>1</v>
      </c>
      <c r="P74" s="6" t="s">
        <v>1</v>
      </c>
    </row>
    <row r="75" spans="1:16" x14ac:dyDescent="0.25">
      <c r="A75" s="7" t="s">
        <v>439</v>
      </c>
      <c r="B75" s="6" t="s">
        <v>33</v>
      </c>
      <c r="C75" s="6" t="s">
        <v>440</v>
      </c>
      <c r="D75" s="6" t="s">
        <v>441</v>
      </c>
      <c r="E75" s="7" t="s">
        <v>61</v>
      </c>
      <c r="F75" s="7" t="s">
        <v>48</v>
      </c>
      <c r="G75" s="6" t="s">
        <v>442</v>
      </c>
      <c r="H75" s="6" t="s">
        <v>443</v>
      </c>
      <c r="I75" s="6" t="s">
        <v>88</v>
      </c>
      <c r="J75" s="6" t="s">
        <v>444</v>
      </c>
      <c r="K75" s="7" t="s">
        <v>85</v>
      </c>
      <c r="L75" s="6" t="s">
        <v>1</v>
      </c>
      <c r="M75" s="7" t="s">
        <v>27</v>
      </c>
      <c r="N75" s="6" t="s">
        <v>1</v>
      </c>
      <c r="O75" s="13" t="s">
        <v>1</v>
      </c>
      <c r="P75" s="6" t="s">
        <v>1</v>
      </c>
    </row>
    <row r="76" spans="1:16" x14ac:dyDescent="0.25">
      <c r="A76" s="7" t="s">
        <v>445</v>
      </c>
      <c r="B76" s="6" t="s">
        <v>33</v>
      </c>
      <c r="C76" s="6" t="s">
        <v>440</v>
      </c>
      <c r="D76" s="6" t="s">
        <v>446</v>
      </c>
      <c r="E76" s="7" t="s">
        <v>56</v>
      </c>
      <c r="F76" s="7" t="s">
        <v>48</v>
      </c>
      <c r="G76" s="6" t="s">
        <v>447</v>
      </c>
      <c r="H76" s="6" t="s">
        <v>448</v>
      </c>
      <c r="I76" s="6" t="s">
        <v>295</v>
      </c>
      <c r="J76" s="6" t="s">
        <v>449</v>
      </c>
      <c r="K76" s="7" t="s">
        <v>85</v>
      </c>
      <c r="L76" s="6" t="s">
        <v>1</v>
      </c>
      <c r="M76" s="7" t="s">
        <v>27</v>
      </c>
      <c r="N76" s="6" t="s">
        <v>1</v>
      </c>
      <c r="O76" s="13" t="s">
        <v>1</v>
      </c>
      <c r="P76" s="6" t="s">
        <v>1</v>
      </c>
    </row>
    <row r="77" spans="1:16" x14ac:dyDescent="0.25">
      <c r="A77" s="7" t="s">
        <v>450</v>
      </c>
      <c r="B77" s="6" t="s">
        <v>33</v>
      </c>
      <c r="C77" s="6" t="s">
        <v>440</v>
      </c>
      <c r="D77" s="6" t="s">
        <v>451</v>
      </c>
      <c r="E77" s="7" t="s">
        <v>57</v>
      </c>
      <c r="F77" s="7" t="s">
        <v>48</v>
      </c>
      <c r="G77" s="6" t="s">
        <v>452</v>
      </c>
      <c r="H77" s="6" t="s">
        <v>453</v>
      </c>
      <c r="I77" s="6" t="s">
        <v>88</v>
      </c>
      <c r="J77" s="6" t="s">
        <v>454</v>
      </c>
      <c r="K77" s="7" t="s">
        <v>85</v>
      </c>
      <c r="L77" s="6" t="s">
        <v>1</v>
      </c>
      <c r="M77" s="7" t="s">
        <v>27</v>
      </c>
      <c r="N77" s="6" t="s">
        <v>1</v>
      </c>
      <c r="O77" s="13" t="s">
        <v>1</v>
      </c>
      <c r="P77" s="6" t="s">
        <v>1</v>
      </c>
    </row>
    <row r="78" spans="1:16" x14ac:dyDescent="0.25">
      <c r="A78" s="7" t="s">
        <v>455</v>
      </c>
      <c r="B78" s="6" t="s">
        <v>33</v>
      </c>
      <c r="C78" s="6" t="s">
        <v>440</v>
      </c>
      <c r="D78" s="6" t="s">
        <v>456</v>
      </c>
      <c r="E78" s="7" t="s">
        <v>56</v>
      </c>
      <c r="F78" s="7" t="s">
        <v>48</v>
      </c>
      <c r="G78" s="6" t="s">
        <v>457</v>
      </c>
      <c r="H78" s="6" t="s">
        <v>458</v>
      </c>
      <c r="I78" s="6" t="s">
        <v>407</v>
      </c>
      <c r="J78" s="6" t="s">
        <v>459</v>
      </c>
      <c r="K78" s="7" t="s">
        <v>85</v>
      </c>
      <c r="L78" s="6" t="s">
        <v>1</v>
      </c>
      <c r="M78" s="7" t="s">
        <v>27</v>
      </c>
      <c r="N78" s="6" t="s">
        <v>1</v>
      </c>
      <c r="O78" s="13" t="s">
        <v>1</v>
      </c>
      <c r="P78" s="6" t="s">
        <v>1</v>
      </c>
    </row>
    <row r="79" spans="1:16" x14ac:dyDescent="0.25">
      <c r="A79" s="7" t="s">
        <v>460</v>
      </c>
      <c r="B79" s="6" t="s">
        <v>33</v>
      </c>
      <c r="C79" s="6" t="s">
        <v>440</v>
      </c>
      <c r="D79" s="6" t="s">
        <v>461</v>
      </c>
      <c r="E79" s="7" t="s">
        <v>56</v>
      </c>
      <c r="F79" s="7" t="s">
        <v>49</v>
      </c>
      <c r="G79" s="6" t="s">
        <v>462</v>
      </c>
      <c r="H79" s="6" t="s">
        <v>463</v>
      </c>
      <c r="I79" s="6" t="s">
        <v>88</v>
      </c>
      <c r="J79" s="6" t="s">
        <v>464</v>
      </c>
      <c r="K79" s="7" t="s">
        <v>85</v>
      </c>
      <c r="L79" s="6" t="s">
        <v>1</v>
      </c>
      <c r="M79" s="7" t="s">
        <v>27</v>
      </c>
      <c r="N79" s="6" t="s">
        <v>1</v>
      </c>
      <c r="O79" s="13" t="s">
        <v>1</v>
      </c>
      <c r="P79" s="6" t="s">
        <v>1</v>
      </c>
    </row>
    <row r="80" spans="1:16" x14ac:dyDescent="0.25">
      <c r="A80" s="7" t="s">
        <v>465</v>
      </c>
      <c r="B80" s="6" t="s">
        <v>33</v>
      </c>
      <c r="C80" s="6" t="s">
        <v>440</v>
      </c>
      <c r="D80" s="6" t="s">
        <v>466</v>
      </c>
      <c r="E80" s="7" t="s">
        <v>58</v>
      </c>
      <c r="F80" s="7" t="s">
        <v>48</v>
      </c>
      <c r="G80" s="6" t="s">
        <v>467</v>
      </c>
      <c r="H80" s="6" t="s">
        <v>468</v>
      </c>
      <c r="I80" s="6" t="s">
        <v>88</v>
      </c>
      <c r="J80" s="6" t="s">
        <v>469</v>
      </c>
      <c r="K80" s="7" t="s">
        <v>85</v>
      </c>
      <c r="L80" s="6" t="s">
        <v>1</v>
      </c>
      <c r="M80" s="7" t="s">
        <v>27</v>
      </c>
      <c r="N80" s="6" t="s">
        <v>1</v>
      </c>
      <c r="O80" s="13" t="s">
        <v>1</v>
      </c>
      <c r="P80" s="6" t="s">
        <v>1</v>
      </c>
    </row>
    <row r="81" spans="1:16" x14ac:dyDescent="0.25">
      <c r="A81" s="7" t="s">
        <v>470</v>
      </c>
      <c r="B81" s="6" t="s">
        <v>33</v>
      </c>
      <c r="C81" s="6" t="s">
        <v>440</v>
      </c>
      <c r="D81" s="6" t="s">
        <v>471</v>
      </c>
      <c r="E81" s="7" t="s">
        <v>58</v>
      </c>
      <c r="F81" s="7" t="s">
        <v>49</v>
      </c>
      <c r="G81" s="6" t="s">
        <v>88</v>
      </c>
      <c r="H81" s="6" t="s">
        <v>472</v>
      </c>
      <c r="I81" s="6" t="s">
        <v>88</v>
      </c>
      <c r="J81" s="6" t="s">
        <v>473</v>
      </c>
      <c r="K81" s="7" t="s">
        <v>102</v>
      </c>
      <c r="L81" s="6" t="s">
        <v>1</v>
      </c>
      <c r="M81" s="7" t="s">
        <v>27</v>
      </c>
      <c r="N81" s="6" t="s">
        <v>1</v>
      </c>
      <c r="O81" s="13" t="s">
        <v>1</v>
      </c>
      <c r="P81" s="6" t="s">
        <v>1</v>
      </c>
    </row>
    <row r="82" spans="1:16" x14ac:dyDescent="0.25">
      <c r="A82" s="7" t="s">
        <v>474</v>
      </c>
      <c r="B82" s="6" t="s">
        <v>33</v>
      </c>
      <c r="C82" s="6" t="s">
        <v>440</v>
      </c>
      <c r="D82" s="6" t="s">
        <v>475</v>
      </c>
      <c r="E82" s="7" t="s">
        <v>58</v>
      </c>
      <c r="F82" s="7" t="s">
        <v>50</v>
      </c>
      <c r="G82" s="6" t="s">
        <v>476</v>
      </c>
      <c r="H82" s="6" t="s">
        <v>477</v>
      </c>
      <c r="I82" s="6" t="s">
        <v>88</v>
      </c>
      <c r="J82" s="6" t="s">
        <v>478</v>
      </c>
      <c r="K82" s="7" t="s">
        <v>85</v>
      </c>
      <c r="L82" s="6" t="s">
        <v>1</v>
      </c>
      <c r="M82" s="7" t="s">
        <v>27</v>
      </c>
      <c r="N82" s="6" t="s">
        <v>1</v>
      </c>
      <c r="O82" s="13" t="s">
        <v>1</v>
      </c>
      <c r="P82" s="6" t="s">
        <v>1</v>
      </c>
    </row>
    <row r="83" spans="1:16" x14ac:dyDescent="0.25">
      <c r="A83" s="7" t="s">
        <v>479</v>
      </c>
      <c r="B83" s="6" t="s">
        <v>33</v>
      </c>
      <c r="C83" s="6" t="s">
        <v>440</v>
      </c>
      <c r="D83" s="6" t="s">
        <v>480</v>
      </c>
      <c r="E83" s="7" t="s">
        <v>57</v>
      </c>
      <c r="F83" s="7" t="s">
        <v>49</v>
      </c>
      <c r="G83" s="6" t="s">
        <v>88</v>
      </c>
      <c r="H83" s="6" t="s">
        <v>481</v>
      </c>
      <c r="I83" s="6" t="s">
        <v>88</v>
      </c>
      <c r="J83" s="6" t="s">
        <v>482</v>
      </c>
      <c r="K83" s="7" t="s">
        <v>85</v>
      </c>
      <c r="L83" s="6" t="s">
        <v>1</v>
      </c>
      <c r="M83" s="7" t="s">
        <v>27</v>
      </c>
      <c r="N83" s="6" t="s">
        <v>1</v>
      </c>
      <c r="O83" s="13" t="s">
        <v>1</v>
      </c>
      <c r="P83" s="6" t="s">
        <v>1</v>
      </c>
    </row>
    <row r="84" spans="1:16" x14ac:dyDescent="0.25">
      <c r="A84" s="7" t="s">
        <v>483</v>
      </c>
      <c r="B84" s="6" t="s">
        <v>33</v>
      </c>
      <c r="C84" s="6" t="s">
        <v>440</v>
      </c>
      <c r="D84" s="6" t="s">
        <v>484</v>
      </c>
      <c r="E84" s="7" t="s">
        <v>57</v>
      </c>
      <c r="F84" s="7" t="s">
        <v>50</v>
      </c>
      <c r="G84" s="6" t="s">
        <v>88</v>
      </c>
      <c r="H84" s="6" t="s">
        <v>485</v>
      </c>
      <c r="I84" s="6" t="s">
        <v>88</v>
      </c>
      <c r="J84" s="6" t="s">
        <v>486</v>
      </c>
      <c r="K84" s="7" t="s">
        <v>85</v>
      </c>
      <c r="L84" s="6" t="s">
        <v>1</v>
      </c>
      <c r="M84" s="7" t="s">
        <v>27</v>
      </c>
      <c r="N84" s="6" t="s">
        <v>1</v>
      </c>
      <c r="O84" s="13" t="s">
        <v>1</v>
      </c>
      <c r="P84" s="6" t="s">
        <v>1</v>
      </c>
    </row>
    <row r="85" spans="1:16" x14ac:dyDescent="0.25">
      <c r="A85" s="7" t="s">
        <v>487</v>
      </c>
      <c r="B85" s="6" t="s">
        <v>33</v>
      </c>
      <c r="C85" s="6" t="s">
        <v>273</v>
      </c>
      <c r="D85" s="6" t="s">
        <v>488</v>
      </c>
      <c r="E85" s="7" t="s">
        <v>56</v>
      </c>
      <c r="F85" s="7" t="s">
        <v>49</v>
      </c>
      <c r="G85" s="6" t="s">
        <v>489</v>
      </c>
      <c r="H85" s="6" t="s">
        <v>490</v>
      </c>
      <c r="I85" s="6" t="s">
        <v>407</v>
      </c>
      <c r="J85" s="6" t="s">
        <v>491</v>
      </c>
      <c r="K85" s="7" t="s">
        <v>85</v>
      </c>
      <c r="L85" s="6" t="s">
        <v>1</v>
      </c>
      <c r="M85" s="7" t="s">
        <v>27</v>
      </c>
      <c r="N85" s="6" t="s">
        <v>1</v>
      </c>
      <c r="O85" s="13" t="s">
        <v>1</v>
      </c>
      <c r="P85" s="6" t="s">
        <v>1</v>
      </c>
    </row>
    <row r="86" spans="1:16" x14ac:dyDescent="0.25">
      <c r="A86" s="7" t="s">
        <v>492</v>
      </c>
      <c r="B86" s="6" t="s">
        <v>33</v>
      </c>
      <c r="C86" s="6" t="s">
        <v>493</v>
      </c>
      <c r="D86" s="6" t="s">
        <v>494</v>
      </c>
      <c r="E86" s="7" t="s">
        <v>56</v>
      </c>
      <c r="F86" s="7" t="s">
        <v>50</v>
      </c>
      <c r="G86" s="6" t="s">
        <v>88</v>
      </c>
      <c r="H86" s="6" t="s">
        <v>495</v>
      </c>
      <c r="I86" s="6" t="s">
        <v>88</v>
      </c>
      <c r="J86" s="6" t="s">
        <v>496</v>
      </c>
      <c r="K86" s="7" t="s">
        <v>85</v>
      </c>
      <c r="L86" s="6" t="s">
        <v>1</v>
      </c>
      <c r="M86" s="7" t="s">
        <v>27</v>
      </c>
      <c r="N86" s="6" t="s">
        <v>1</v>
      </c>
      <c r="O86" s="13" t="s">
        <v>1</v>
      </c>
      <c r="P86" s="6" t="s">
        <v>1</v>
      </c>
    </row>
    <row r="87" spans="1:16" x14ac:dyDescent="0.25">
      <c r="A87" s="7" t="s">
        <v>497</v>
      </c>
      <c r="B87" s="6" t="s">
        <v>33</v>
      </c>
      <c r="C87" s="6" t="s">
        <v>498</v>
      </c>
      <c r="D87" s="6" t="s">
        <v>499</v>
      </c>
      <c r="E87" s="7" t="s">
        <v>56</v>
      </c>
      <c r="F87" s="7" t="s">
        <v>51</v>
      </c>
      <c r="G87" s="6" t="s">
        <v>88</v>
      </c>
      <c r="H87" s="6" t="s">
        <v>500</v>
      </c>
      <c r="I87" s="6" t="s">
        <v>88</v>
      </c>
      <c r="J87" s="6" t="s">
        <v>501</v>
      </c>
      <c r="K87" s="7" t="s">
        <v>85</v>
      </c>
      <c r="L87" s="6" t="s">
        <v>1</v>
      </c>
      <c r="M87" s="7" t="s">
        <v>27</v>
      </c>
      <c r="N87" s="6" t="s">
        <v>1</v>
      </c>
      <c r="O87" s="13" t="s">
        <v>1</v>
      </c>
      <c r="P87" s="6" t="s">
        <v>1</v>
      </c>
    </row>
    <row r="88" spans="1:16" x14ac:dyDescent="0.25">
      <c r="A88" s="7" t="s">
        <v>502</v>
      </c>
      <c r="B88" s="6" t="s">
        <v>33</v>
      </c>
      <c r="C88" s="6" t="s">
        <v>403</v>
      </c>
      <c r="D88" s="6" t="s">
        <v>503</v>
      </c>
      <c r="E88" s="7" t="s">
        <v>43</v>
      </c>
      <c r="F88" s="7" t="s">
        <v>48</v>
      </c>
      <c r="G88" s="6" t="s">
        <v>504</v>
      </c>
      <c r="H88" s="6" t="s">
        <v>505</v>
      </c>
      <c r="I88" s="6" t="s">
        <v>88</v>
      </c>
      <c r="J88" s="6" t="s">
        <v>506</v>
      </c>
      <c r="K88" s="7" t="s">
        <v>85</v>
      </c>
      <c r="L88" s="6" t="s">
        <v>1</v>
      </c>
      <c r="M88" s="7" t="s">
        <v>27</v>
      </c>
      <c r="N88" s="6" t="s">
        <v>1</v>
      </c>
      <c r="O88" s="13" t="s">
        <v>1</v>
      </c>
      <c r="P88" s="6" t="s">
        <v>1</v>
      </c>
    </row>
    <row r="89" spans="1:16" x14ac:dyDescent="0.25">
      <c r="A89" s="7" t="s">
        <v>507</v>
      </c>
      <c r="B89" s="6" t="s">
        <v>33</v>
      </c>
      <c r="C89" s="6" t="s">
        <v>403</v>
      </c>
      <c r="D89" s="6" t="s">
        <v>508</v>
      </c>
      <c r="E89" s="7" t="s">
        <v>61</v>
      </c>
      <c r="F89" s="7" t="s">
        <v>51</v>
      </c>
      <c r="G89" s="6" t="s">
        <v>88</v>
      </c>
      <c r="H89" s="6" t="s">
        <v>509</v>
      </c>
      <c r="I89" s="6" t="s">
        <v>88</v>
      </c>
      <c r="J89" s="6" t="s">
        <v>510</v>
      </c>
      <c r="K89" s="7" t="s">
        <v>85</v>
      </c>
      <c r="L89" s="6" t="s">
        <v>1</v>
      </c>
      <c r="M89" s="7" t="s">
        <v>27</v>
      </c>
      <c r="N89" s="6" t="s">
        <v>1</v>
      </c>
      <c r="O89" s="13" t="s">
        <v>1</v>
      </c>
      <c r="P89" s="6" t="s">
        <v>1</v>
      </c>
    </row>
    <row r="90" spans="1:16" x14ac:dyDescent="0.25">
      <c r="A90" s="7" t="s">
        <v>511</v>
      </c>
      <c r="B90" s="6" t="s">
        <v>34</v>
      </c>
      <c r="C90" s="6" t="s">
        <v>512</v>
      </c>
      <c r="D90" s="6" t="s">
        <v>513</v>
      </c>
      <c r="E90" s="7" t="s">
        <v>63</v>
      </c>
      <c r="F90" s="7" t="s">
        <v>48</v>
      </c>
      <c r="G90" s="6" t="s">
        <v>514</v>
      </c>
      <c r="H90" s="6" t="s">
        <v>515</v>
      </c>
      <c r="I90" s="6" t="s">
        <v>516</v>
      </c>
      <c r="J90" s="6" t="s">
        <v>517</v>
      </c>
      <c r="K90" s="7" t="s">
        <v>85</v>
      </c>
      <c r="L90" s="6" t="s">
        <v>1</v>
      </c>
      <c r="M90" s="7" t="s">
        <v>27</v>
      </c>
      <c r="N90" s="6" t="s">
        <v>1</v>
      </c>
      <c r="O90" s="13" t="s">
        <v>1</v>
      </c>
      <c r="P90" s="6" t="s">
        <v>1</v>
      </c>
    </row>
    <row r="91" spans="1:16" x14ac:dyDescent="0.25">
      <c r="A91" s="7" t="s">
        <v>518</v>
      </c>
      <c r="B91" s="6" t="s">
        <v>34</v>
      </c>
      <c r="C91" s="6" t="s">
        <v>512</v>
      </c>
      <c r="D91" s="6" t="s">
        <v>519</v>
      </c>
      <c r="E91" s="7" t="s">
        <v>63</v>
      </c>
      <c r="F91" s="7" t="s">
        <v>48</v>
      </c>
      <c r="G91" s="6" t="s">
        <v>514</v>
      </c>
      <c r="H91" s="6" t="s">
        <v>515</v>
      </c>
      <c r="I91" s="6" t="s">
        <v>407</v>
      </c>
      <c r="J91" s="6" t="s">
        <v>517</v>
      </c>
      <c r="K91" s="7" t="s">
        <v>85</v>
      </c>
      <c r="L91" s="6" t="s">
        <v>1</v>
      </c>
      <c r="M91" s="7" t="s">
        <v>27</v>
      </c>
      <c r="N91" s="6" t="s">
        <v>1</v>
      </c>
      <c r="O91" s="13" t="s">
        <v>1</v>
      </c>
      <c r="P91" s="6" t="s">
        <v>1</v>
      </c>
    </row>
    <row r="92" spans="1:16" x14ac:dyDescent="0.25">
      <c r="A92" s="7" t="s">
        <v>520</v>
      </c>
      <c r="B92" s="6" t="s">
        <v>34</v>
      </c>
      <c r="C92" s="6" t="s">
        <v>512</v>
      </c>
      <c r="D92" s="6" t="s">
        <v>521</v>
      </c>
      <c r="E92" s="7" t="s">
        <v>63</v>
      </c>
      <c r="F92" s="7" t="s">
        <v>48</v>
      </c>
      <c r="G92" s="6" t="s">
        <v>514</v>
      </c>
      <c r="H92" s="6" t="s">
        <v>515</v>
      </c>
      <c r="I92" s="6" t="s">
        <v>407</v>
      </c>
      <c r="J92" s="6" t="s">
        <v>522</v>
      </c>
      <c r="K92" s="7" t="s">
        <v>85</v>
      </c>
      <c r="L92" s="6" t="s">
        <v>1</v>
      </c>
      <c r="M92" s="7" t="s">
        <v>27</v>
      </c>
      <c r="N92" s="6" t="s">
        <v>1</v>
      </c>
      <c r="O92" s="13" t="s">
        <v>1</v>
      </c>
      <c r="P92" s="6" t="s">
        <v>1</v>
      </c>
    </row>
    <row r="93" spans="1:16" x14ac:dyDescent="0.25">
      <c r="A93" s="7" t="s">
        <v>523</v>
      </c>
      <c r="B93" s="6" t="s">
        <v>34</v>
      </c>
      <c r="C93" s="6" t="s">
        <v>512</v>
      </c>
      <c r="D93" s="6" t="s">
        <v>524</v>
      </c>
      <c r="E93" s="7" t="s">
        <v>63</v>
      </c>
      <c r="F93" s="7" t="s">
        <v>48</v>
      </c>
      <c r="G93" s="6" t="s">
        <v>514</v>
      </c>
      <c r="H93" s="6" t="s">
        <v>515</v>
      </c>
      <c r="I93" s="6" t="s">
        <v>407</v>
      </c>
      <c r="J93" s="6" t="s">
        <v>525</v>
      </c>
      <c r="K93" s="7" t="s">
        <v>85</v>
      </c>
      <c r="L93" s="6" t="s">
        <v>1</v>
      </c>
      <c r="M93" s="7" t="s">
        <v>27</v>
      </c>
      <c r="N93" s="6" t="s">
        <v>1</v>
      </c>
      <c r="O93" s="13" t="s">
        <v>1</v>
      </c>
      <c r="P93" s="6" t="s">
        <v>1</v>
      </c>
    </row>
    <row r="94" spans="1:16" x14ac:dyDescent="0.25">
      <c r="A94" s="7" t="s">
        <v>526</v>
      </c>
      <c r="B94" s="6" t="s">
        <v>34</v>
      </c>
      <c r="C94" s="6" t="s">
        <v>512</v>
      </c>
      <c r="D94" s="6" t="s">
        <v>527</v>
      </c>
      <c r="E94" s="7" t="s">
        <v>63</v>
      </c>
      <c r="F94" s="7" t="s">
        <v>48</v>
      </c>
      <c r="G94" s="6" t="s">
        <v>514</v>
      </c>
      <c r="H94" s="6" t="s">
        <v>515</v>
      </c>
      <c r="I94" s="6" t="s">
        <v>407</v>
      </c>
      <c r="J94" s="6" t="s">
        <v>522</v>
      </c>
      <c r="K94" s="7" t="s">
        <v>85</v>
      </c>
      <c r="L94" s="6" t="s">
        <v>1</v>
      </c>
      <c r="M94" s="7" t="s">
        <v>27</v>
      </c>
      <c r="N94" s="6" t="s">
        <v>1</v>
      </c>
      <c r="O94" s="13" t="s">
        <v>1</v>
      </c>
      <c r="P94" s="6" t="s">
        <v>1</v>
      </c>
    </row>
    <row r="95" spans="1:16" x14ac:dyDescent="0.25">
      <c r="A95" s="7" t="s">
        <v>528</v>
      </c>
      <c r="B95" s="6" t="s">
        <v>34</v>
      </c>
      <c r="C95" s="6" t="s">
        <v>512</v>
      </c>
      <c r="D95" s="6" t="s">
        <v>529</v>
      </c>
      <c r="E95" s="7" t="s">
        <v>63</v>
      </c>
      <c r="F95" s="7" t="s">
        <v>48</v>
      </c>
      <c r="G95" s="6" t="s">
        <v>514</v>
      </c>
      <c r="H95" s="6" t="s">
        <v>515</v>
      </c>
      <c r="I95" s="6" t="s">
        <v>407</v>
      </c>
      <c r="J95" s="6" t="s">
        <v>530</v>
      </c>
      <c r="K95" s="7" t="s">
        <v>85</v>
      </c>
      <c r="L95" s="6" t="s">
        <v>1</v>
      </c>
      <c r="M95" s="7" t="s">
        <v>27</v>
      </c>
      <c r="N95" s="6" t="s">
        <v>1</v>
      </c>
      <c r="O95" s="13" t="s">
        <v>1</v>
      </c>
      <c r="P95" s="6" t="s">
        <v>1</v>
      </c>
    </row>
    <row r="96" spans="1:16" x14ac:dyDescent="0.25">
      <c r="A96" s="7" t="s">
        <v>531</v>
      </c>
      <c r="B96" s="6" t="s">
        <v>34</v>
      </c>
      <c r="C96" s="6" t="s">
        <v>512</v>
      </c>
      <c r="D96" s="6" t="s">
        <v>532</v>
      </c>
      <c r="E96" s="7" t="s">
        <v>63</v>
      </c>
      <c r="F96" s="7" t="s">
        <v>48</v>
      </c>
      <c r="G96" s="6" t="s">
        <v>514</v>
      </c>
      <c r="H96" s="6" t="s">
        <v>515</v>
      </c>
      <c r="I96" s="6" t="s">
        <v>407</v>
      </c>
      <c r="J96" s="6" t="s">
        <v>533</v>
      </c>
      <c r="K96" s="7" t="s">
        <v>85</v>
      </c>
      <c r="L96" s="6" t="s">
        <v>1</v>
      </c>
      <c r="M96" s="7" t="s">
        <v>27</v>
      </c>
      <c r="N96" s="6" t="s">
        <v>1</v>
      </c>
      <c r="O96" s="13" t="s">
        <v>1</v>
      </c>
      <c r="P96" s="6" t="s">
        <v>1</v>
      </c>
    </row>
    <row r="97" spans="1:16" x14ac:dyDescent="0.25">
      <c r="A97" s="7" t="s">
        <v>534</v>
      </c>
      <c r="B97" s="6" t="s">
        <v>34</v>
      </c>
      <c r="C97" s="6" t="s">
        <v>512</v>
      </c>
      <c r="D97" s="6" t="s">
        <v>535</v>
      </c>
      <c r="E97" s="7" t="s">
        <v>63</v>
      </c>
      <c r="F97" s="7" t="s">
        <v>48</v>
      </c>
      <c r="G97" s="6" t="s">
        <v>514</v>
      </c>
      <c r="H97" s="6" t="s">
        <v>515</v>
      </c>
      <c r="I97" s="6" t="s">
        <v>407</v>
      </c>
      <c r="J97" s="6" t="s">
        <v>536</v>
      </c>
      <c r="K97" s="7" t="s">
        <v>85</v>
      </c>
      <c r="L97" s="6" t="s">
        <v>1</v>
      </c>
      <c r="M97" s="7" t="s">
        <v>27</v>
      </c>
      <c r="N97" s="6" t="s">
        <v>1</v>
      </c>
      <c r="O97" s="13" t="s">
        <v>1</v>
      </c>
      <c r="P97" s="6" t="s">
        <v>1</v>
      </c>
    </row>
    <row r="98" spans="1:16" x14ac:dyDescent="0.25">
      <c r="A98" s="7" t="s">
        <v>537</v>
      </c>
      <c r="B98" s="6" t="s">
        <v>34</v>
      </c>
      <c r="C98" s="6" t="s">
        <v>512</v>
      </c>
      <c r="D98" s="6" t="s">
        <v>538</v>
      </c>
      <c r="E98" s="7" t="s">
        <v>63</v>
      </c>
      <c r="F98" s="7" t="s">
        <v>48</v>
      </c>
      <c r="G98" s="6" t="s">
        <v>514</v>
      </c>
      <c r="H98" s="6" t="s">
        <v>515</v>
      </c>
      <c r="I98" s="6" t="s">
        <v>407</v>
      </c>
      <c r="J98" s="6" t="s">
        <v>522</v>
      </c>
      <c r="K98" s="7" t="s">
        <v>85</v>
      </c>
      <c r="L98" s="6" t="s">
        <v>1</v>
      </c>
      <c r="M98" s="7" t="s">
        <v>27</v>
      </c>
      <c r="N98" s="6" t="s">
        <v>1</v>
      </c>
      <c r="O98" s="13" t="s">
        <v>1</v>
      </c>
      <c r="P98" s="6" t="s">
        <v>1</v>
      </c>
    </row>
    <row r="99" spans="1:16" x14ac:dyDescent="0.25">
      <c r="A99" s="7" t="s">
        <v>539</v>
      </c>
      <c r="B99" s="6" t="s">
        <v>34</v>
      </c>
      <c r="C99" s="6" t="s">
        <v>512</v>
      </c>
      <c r="D99" s="6" t="s">
        <v>540</v>
      </c>
      <c r="E99" s="7" t="s">
        <v>63</v>
      </c>
      <c r="F99" s="7" t="s">
        <v>48</v>
      </c>
      <c r="G99" s="6" t="s">
        <v>514</v>
      </c>
      <c r="H99" s="6" t="s">
        <v>515</v>
      </c>
      <c r="I99" s="6" t="s">
        <v>407</v>
      </c>
      <c r="J99" s="6" t="s">
        <v>541</v>
      </c>
      <c r="K99" s="7" t="s">
        <v>85</v>
      </c>
      <c r="L99" s="6" t="s">
        <v>1</v>
      </c>
      <c r="M99" s="7" t="s">
        <v>27</v>
      </c>
      <c r="N99" s="6" t="s">
        <v>1</v>
      </c>
      <c r="O99" s="13" t="s">
        <v>1</v>
      </c>
      <c r="P99" s="6" t="s">
        <v>1</v>
      </c>
    </row>
    <row r="100" spans="1:16" x14ac:dyDescent="0.25">
      <c r="A100" s="7" t="s">
        <v>542</v>
      </c>
      <c r="B100" s="6" t="s">
        <v>34</v>
      </c>
      <c r="C100" s="6" t="s">
        <v>512</v>
      </c>
      <c r="D100" s="6" t="s">
        <v>543</v>
      </c>
      <c r="E100" s="7" t="s">
        <v>63</v>
      </c>
      <c r="F100" s="7" t="s">
        <v>48</v>
      </c>
      <c r="G100" s="6" t="s">
        <v>514</v>
      </c>
      <c r="H100" s="6" t="s">
        <v>515</v>
      </c>
      <c r="I100" s="6" t="s">
        <v>407</v>
      </c>
      <c r="J100" s="6" t="s">
        <v>522</v>
      </c>
      <c r="K100" s="7" t="s">
        <v>85</v>
      </c>
      <c r="L100" s="6" t="s">
        <v>1</v>
      </c>
      <c r="M100" s="7" t="s">
        <v>27</v>
      </c>
      <c r="N100" s="6" t="s">
        <v>1</v>
      </c>
      <c r="O100" s="13" t="s">
        <v>1</v>
      </c>
      <c r="P100" s="6" t="s">
        <v>1</v>
      </c>
    </row>
    <row r="101" spans="1:16" x14ac:dyDescent="0.25">
      <c r="A101" s="7" t="s">
        <v>544</v>
      </c>
      <c r="B101" s="6" t="s">
        <v>34</v>
      </c>
      <c r="C101" s="6" t="s">
        <v>512</v>
      </c>
      <c r="D101" s="6" t="s">
        <v>545</v>
      </c>
      <c r="E101" s="7" t="s">
        <v>63</v>
      </c>
      <c r="F101" s="7" t="s">
        <v>48</v>
      </c>
      <c r="G101" s="6" t="s">
        <v>514</v>
      </c>
      <c r="H101" s="6" t="s">
        <v>515</v>
      </c>
      <c r="I101" s="6" t="s">
        <v>407</v>
      </c>
      <c r="J101" s="6" t="s">
        <v>546</v>
      </c>
      <c r="K101" s="7" t="s">
        <v>85</v>
      </c>
      <c r="L101" s="6" t="s">
        <v>1</v>
      </c>
      <c r="M101" s="7" t="s">
        <v>27</v>
      </c>
      <c r="N101" s="6" t="s">
        <v>1</v>
      </c>
      <c r="O101" s="13" t="s">
        <v>1</v>
      </c>
      <c r="P101" s="6" t="s">
        <v>1</v>
      </c>
    </row>
    <row r="102" spans="1:16" x14ac:dyDescent="0.25">
      <c r="A102" s="7" t="s">
        <v>547</v>
      </c>
      <c r="B102" s="6" t="s">
        <v>34</v>
      </c>
      <c r="C102" s="6" t="s">
        <v>512</v>
      </c>
      <c r="D102" s="6" t="s">
        <v>548</v>
      </c>
      <c r="E102" s="7" t="s">
        <v>63</v>
      </c>
      <c r="F102" s="7" t="s">
        <v>48</v>
      </c>
      <c r="G102" s="6" t="s">
        <v>514</v>
      </c>
      <c r="H102" s="6" t="s">
        <v>515</v>
      </c>
      <c r="I102" s="6" t="s">
        <v>407</v>
      </c>
      <c r="J102" s="6" t="s">
        <v>522</v>
      </c>
      <c r="K102" s="7" t="s">
        <v>85</v>
      </c>
      <c r="L102" s="6" t="s">
        <v>1</v>
      </c>
      <c r="M102" s="7" t="s">
        <v>27</v>
      </c>
      <c r="N102" s="6" t="s">
        <v>1</v>
      </c>
      <c r="O102" s="13" t="s">
        <v>1</v>
      </c>
      <c r="P102" s="6" t="s">
        <v>1</v>
      </c>
    </row>
    <row r="103" spans="1:16" x14ac:dyDescent="0.25">
      <c r="A103" s="7" t="s">
        <v>549</v>
      </c>
      <c r="B103" s="6" t="s">
        <v>34</v>
      </c>
      <c r="C103" s="6" t="s">
        <v>512</v>
      </c>
      <c r="D103" s="6" t="s">
        <v>550</v>
      </c>
      <c r="E103" s="7" t="s">
        <v>63</v>
      </c>
      <c r="F103" s="7" t="s">
        <v>48</v>
      </c>
      <c r="G103" s="6" t="s">
        <v>514</v>
      </c>
      <c r="H103" s="6" t="s">
        <v>515</v>
      </c>
      <c r="I103" s="6" t="s">
        <v>407</v>
      </c>
      <c r="J103" s="6" t="s">
        <v>522</v>
      </c>
      <c r="K103" s="7" t="s">
        <v>85</v>
      </c>
      <c r="L103" s="6" t="s">
        <v>1</v>
      </c>
      <c r="M103" s="7" t="s">
        <v>27</v>
      </c>
      <c r="N103" s="6" t="s">
        <v>1</v>
      </c>
      <c r="O103" s="13" t="s">
        <v>1</v>
      </c>
      <c r="P103" s="6" t="s">
        <v>1</v>
      </c>
    </row>
    <row r="104" spans="1:16" x14ac:dyDescent="0.25">
      <c r="A104" s="7" t="s">
        <v>551</v>
      </c>
      <c r="B104" s="6" t="s">
        <v>34</v>
      </c>
      <c r="C104" s="6" t="s">
        <v>512</v>
      </c>
      <c r="D104" s="6" t="s">
        <v>552</v>
      </c>
      <c r="E104" s="7" t="s">
        <v>63</v>
      </c>
      <c r="F104" s="7" t="s">
        <v>48</v>
      </c>
      <c r="G104" s="6" t="s">
        <v>514</v>
      </c>
      <c r="H104" s="6" t="s">
        <v>515</v>
      </c>
      <c r="I104" s="6" t="s">
        <v>407</v>
      </c>
      <c r="J104" s="6" t="s">
        <v>522</v>
      </c>
      <c r="K104" s="7" t="s">
        <v>85</v>
      </c>
      <c r="L104" s="6" t="s">
        <v>1</v>
      </c>
      <c r="M104" s="7" t="s">
        <v>27</v>
      </c>
      <c r="N104" s="6" t="s">
        <v>1</v>
      </c>
      <c r="O104" s="13" t="s">
        <v>1</v>
      </c>
      <c r="P104" s="6" t="s">
        <v>1</v>
      </c>
    </row>
    <row r="105" spans="1:16" x14ac:dyDescent="0.25">
      <c r="A105" s="7" t="s">
        <v>553</v>
      </c>
      <c r="B105" s="6" t="s">
        <v>34</v>
      </c>
      <c r="C105" s="6" t="s">
        <v>512</v>
      </c>
      <c r="D105" s="6" t="s">
        <v>554</v>
      </c>
      <c r="E105" s="7" t="s">
        <v>63</v>
      </c>
      <c r="F105" s="7" t="s">
        <v>48</v>
      </c>
      <c r="G105" s="6" t="s">
        <v>514</v>
      </c>
      <c r="H105" s="6" t="s">
        <v>515</v>
      </c>
      <c r="I105" s="6" t="s">
        <v>407</v>
      </c>
      <c r="J105" s="6" t="s">
        <v>555</v>
      </c>
      <c r="K105" s="7" t="s">
        <v>85</v>
      </c>
      <c r="L105" s="6" t="s">
        <v>1</v>
      </c>
      <c r="M105" s="7" t="s">
        <v>27</v>
      </c>
      <c r="N105" s="6" t="s">
        <v>1</v>
      </c>
      <c r="O105" s="13" t="s">
        <v>1</v>
      </c>
      <c r="P105" s="6" t="s">
        <v>1</v>
      </c>
    </row>
    <row r="106" spans="1:16" x14ac:dyDescent="0.25">
      <c r="A106" s="7" t="s">
        <v>556</v>
      </c>
      <c r="B106" s="6" t="s">
        <v>34</v>
      </c>
      <c r="C106" s="6" t="s">
        <v>512</v>
      </c>
      <c r="D106" s="6" t="s">
        <v>557</v>
      </c>
      <c r="E106" s="7" t="s">
        <v>63</v>
      </c>
      <c r="F106" s="7" t="s">
        <v>48</v>
      </c>
      <c r="G106" s="6" t="s">
        <v>514</v>
      </c>
      <c r="H106" s="6" t="s">
        <v>515</v>
      </c>
      <c r="I106" s="6" t="s">
        <v>407</v>
      </c>
      <c r="J106" s="6" t="s">
        <v>558</v>
      </c>
      <c r="K106" s="7" t="s">
        <v>85</v>
      </c>
      <c r="L106" s="6" t="s">
        <v>1</v>
      </c>
      <c r="M106" s="7" t="s">
        <v>27</v>
      </c>
      <c r="N106" s="6" t="s">
        <v>1</v>
      </c>
      <c r="O106" s="13" t="s">
        <v>1</v>
      </c>
      <c r="P106" s="6" t="s">
        <v>1</v>
      </c>
    </row>
    <row r="107" spans="1:16" x14ac:dyDescent="0.25">
      <c r="A107" s="7" t="s">
        <v>559</v>
      </c>
      <c r="B107" s="6" t="s">
        <v>34</v>
      </c>
      <c r="C107" s="6" t="s">
        <v>512</v>
      </c>
      <c r="D107" s="6" t="s">
        <v>560</v>
      </c>
      <c r="E107" s="7" t="s">
        <v>63</v>
      </c>
      <c r="F107" s="7" t="s">
        <v>48</v>
      </c>
      <c r="G107" s="6" t="s">
        <v>514</v>
      </c>
      <c r="H107" s="6" t="s">
        <v>515</v>
      </c>
      <c r="I107" s="6" t="s">
        <v>407</v>
      </c>
      <c r="J107" s="6" t="s">
        <v>558</v>
      </c>
      <c r="K107" s="7" t="s">
        <v>85</v>
      </c>
      <c r="L107" s="6" t="s">
        <v>1</v>
      </c>
      <c r="M107" s="7" t="s">
        <v>27</v>
      </c>
      <c r="N107" s="6" t="s">
        <v>1</v>
      </c>
      <c r="O107" s="13" t="s">
        <v>1</v>
      </c>
      <c r="P107" s="6" t="s">
        <v>1</v>
      </c>
    </row>
    <row r="108" spans="1:16" x14ac:dyDescent="0.25">
      <c r="A108" s="7" t="s">
        <v>561</v>
      </c>
      <c r="B108" s="6" t="s">
        <v>34</v>
      </c>
      <c r="C108" s="6" t="s">
        <v>512</v>
      </c>
      <c r="D108" s="6" t="s">
        <v>562</v>
      </c>
      <c r="E108" s="7" t="s">
        <v>63</v>
      </c>
      <c r="F108" s="7" t="s">
        <v>48</v>
      </c>
      <c r="G108" s="6" t="s">
        <v>514</v>
      </c>
      <c r="H108" s="6" t="s">
        <v>515</v>
      </c>
      <c r="I108" s="6" t="s">
        <v>407</v>
      </c>
      <c r="J108" s="6" t="s">
        <v>563</v>
      </c>
      <c r="K108" s="7" t="s">
        <v>85</v>
      </c>
      <c r="L108" s="6" t="s">
        <v>1</v>
      </c>
      <c r="M108" s="7" t="s">
        <v>27</v>
      </c>
      <c r="N108" s="6" t="s">
        <v>1</v>
      </c>
      <c r="O108" s="13" t="s">
        <v>1</v>
      </c>
      <c r="P108" s="6" t="s">
        <v>1</v>
      </c>
    </row>
    <row r="109" spans="1:16" x14ac:dyDescent="0.25">
      <c r="A109" s="7" t="s">
        <v>564</v>
      </c>
      <c r="B109" s="6" t="s">
        <v>34</v>
      </c>
      <c r="C109" s="6" t="s">
        <v>512</v>
      </c>
      <c r="D109" s="6" t="s">
        <v>565</v>
      </c>
      <c r="E109" s="7" t="s">
        <v>63</v>
      </c>
      <c r="F109" s="7" t="s">
        <v>48</v>
      </c>
      <c r="G109" s="6" t="s">
        <v>514</v>
      </c>
      <c r="H109" s="6" t="s">
        <v>515</v>
      </c>
      <c r="I109" s="6" t="s">
        <v>566</v>
      </c>
      <c r="J109" s="6" t="s">
        <v>567</v>
      </c>
      <c r="K109" s="7" t="s">
        <v>85</v>
      </c>
      <c r="L109" s="6" t="s">
        <v>1</v>
      </c>
      <c r="M109" s="7" t="s">
        <v>27</v>
      </c>
      <c r="N109" s="6" t="s">
        <v>1</v>
      </c>
      <c r="O109" s="13" t="s">
        <v>1</v>
      </c>
      <c r="P109" s="6" t="s">
        <v>1</v>
      </c>
    </row>
    <row r="110" spans="1:16" x14ac:dyDescent="0.25">
      <c r="A110" s="7" t="s">
        <v>568</v>
      </c>
      <c r="B110" s="6" t="s">
        <v>34</v>
      </c>
      <c r="C110" s="6" t="s">
        <v>512</v>
      </c>
      <c r="D110" s="6" t="s">
        <v>569</v>
      </c>
      <c r="E110" s="7" t="s">
        <v>63</v>
      </c>
      <c r="F110" s="7" t="s">
        <v>48</v>
      </c>
      <c r="G110" s="6" t="s">
        <v>514</v>
      </c>
      <c r="H110" s="6" t="s">
        <v>515</v>
      </c>
      <c r="I110" s="6" t="s">
        <v>407</v>
      </c>
      <c r="J110" s="6" t="s">
        <v>522</v>
      </c>
      <c r="K110" s="7" t="s">
        <v>85</v>
      </c>
      <c r="L110" s="6" t="s">
        <v>1</v>
      </c>
      <c r="M110" s="7" t="s">
        <v>27</v>
      </c>
      <c r="N110" s="6" t="s">
        <v>1</v>
      </c>
      <c r="O110" s="13" t="s">
        <v>1</v>
      </c>
      <c r="P110" s="6" t="s">
        <v>1</v>
      </c>
    </row>
    <row r="111" spans="1:16" x14ac:dyDescent="0.25">
      <c r="A111" s="7" t="s">
        <v>570</v>
      </c>
      <c r="B111" s="6" t="s">
        <v>34</v>
      </c>
      <c r="C111" s="6" t="s">
        <v>512</v>
      </c>
      <c r="D111" s="6" t="s">
        <v>571</v>
      </c>
      <c r="E111" s="7" t="s">
        <v>63</v>
      </c>
      <c r="F111" s="7" t="s">
        <v>48</v>
      </c>
      <c r="G111" s="6" t="s">
        <v>514</v>
      </c>
      <c r="H111" s="6" t="s">
        <v>515</v>
      </c>
      <c r="I111" s="6" t="s">
        <v>407</v>
      </c>
      <c r="J111" s="6" t="s">
        <v>572</v>
      </c>
      <c r="K111" s="7" t="s">
        <v>85</v>
      </c>
      <c r="L111" s="6" t="s">
        <v>1</v>
      </c>
      <c r="M111" s="7" t="s">
        <v>27</v>
      </c>
      <c r="N111" s="6" t="s">
        <v>1</v>
      </c>
      <c r="O111" s="13" t="s">
        <v>1</v>
      </c>
      <c r="P111" s="6" t="s">
        <v>1</v>
      </c>
    </row>
    <row r="112" spans="1:16" x14ac:dyDescent="0.25">
      <c r="A112" s="7" t="s">
        <v>573</v>
      </c>
      <c r="B112" s="6" t="s">
        <v>34</v>
      </c>
      <c r="C112" s="6" t="s">
        <v>512</v>
      </c>
      <c r="D112" s="6" t="s">
        <v>574</v>
      </c>
      <c r="E112" s="7" t="s">
        <v>63</v>
      </c>
      <c r="F112" s="7" t="s">
        <v>48</v>
      </c>
      <c r="G112" s="6" t="s">
        <v>514</v>
      </c>
      <c r="H112" s="6" t="s">
        <v>515</v>
      </c>
      <c r="I112" s="6" t="s">
        <v>407</v>
      </c>
      <c r="J112" s="6" t="s">
        <v>575</v>
      </c>
      <c r="K112" s="7" t="s">
        <v>85</v>
      </c>
      <c r="L112" s="6" t="s">
        <v>1</v>
      </c>
      <c r="M112" s="7" t="s">
        <v>27</v>
      </c>
      <c r="N112" s="6" t="s">
        <v>1</v>
      </c>
      <c r="O112" s="13" t="s">
        <v>1</v>
      </c>
      <c r="P112" s="6" t="s">
        <v>1</v>
      </c>
    </row>
    <row r="113" spans="1:16" x14ac:dyDescent="0.25">
      <c r="A113" s="7" t="s">
        <v>576</v>
      </c>
      <c r="B113" s="6" t="s">
        <v>34</v>
      </c>
      <c r="C113" s="6" t="s">
        <v>512</v>
      </c>
      <c r="D113" s="6" t="s">
        <v>577</v>
      </c>
      <c r="E113" s="7" t="s">
        <v>63</v>
      </c>
      <c r="F113" s="7" t="s">
        <v>48</v>
      </c>
      <c r="G113" s="6" t="s">
        <v>514</v>
      </c>
      <c r="H113" s="6" t="s">
        <v>515</v>
      </c>
      <c r="I113" s="6" t="s">
        <v>407</v>
      </c>
      <c r="J113" s="6" t="s">
        <v>578</v>
      </c>
      <c r="K113" s="7" t="s">
        <v>85</v>
      </c>
      <c r="L113" s="6" t="s">
        <v>1</v>
      </c>
      <c r="M113" s="7" t="s">
        <v>27</v>
      </c>
      <c r="N113" s="6" t="s">
        <v>1</v>
      </c>
      <c r="O113" s="13" t="s">
        <v>1</v>
      </c>
      <c r="P113" s="6" t="s">
        <v>1</v>
      </c>
    </row>
    <row r="114" spans="1:16" x14ac:dyDescent="0.25">
      <c r="A114" s="7" t="s">
        <v>579</v>
      </c>
      <c r="B114" s="6" t="s">
        <v>34</v>
      </c>
      <c r="C114" s="6" t="s">
        <v>512</v>
      </c>
      <c r="D114" s="6" t="s">
        <v>580</v>
      </c>
      <c r="E114" s="7" t="s">
        <v>63</v>
      </c>
      <c r="F114" s="7" t="s">
        <v>48</v>
      </c>
      <c r="G114" s="6" t="s">
        <v>514</v>
      </c>
      <c r="H114" s="6" t="s">
        <v>515</v>
      </c>
      <c r="I114" s="6" t="s">
        <v>407</v>
      </c>
      <c r="J114" s="6" t="s">
        <v>581</v>
      </c>
      <c r="K114" s="7" t="s">
        <v>85</v>
      </c>
      <c r="L114" s="6" t="s">
        <v>1</v>
      </c>
      <c r="M114" s="7" t="s">
        <v>27</v>
      </c>
      <c r="N114" s="6" t="s">
        <v>1</v>
      </c>
      <c r="O114" s="13" t="s">
        <v>1</v>
      </c>
      <c r="P114" s="6" t="s">
        <v>1</v>
      </c>
    </row>
    <row r="115" spans="1:16" x14ac:dyDescent="0.25">
      <c r="A115" s="7" t="s">
        <v>582</v>
      </c>
      <c r="B115" s="6" t="s">
        <v>34</v>
      </c>
      <c r="C115" s="6" t="s">
        <v>512</v>
      </c>
      <c r="D115" s="6" t="s">
        <v>583</v>
      </c>
      <c r="E115" s="7" t="s">
        <v>63</v>
      </c>
      <c r="F115" s="7" t="s">
        <v>48</v>
      </c>
      <c r="G115" s="6" t="s">
        <v>514</v>
      </c>
      <c r="H115" s="6" t="s">
        <v>515</v>
      </c>
      <c r="I115" s="6" t="s">
        <v>407</v>
      </c>
      <c r="J115" s="6" t="s">
        <v>522</v>
      </c>
      <c r="K115" s="7" t="s">
        <v>85</v>
      </c>
      <c r="L115" s="6" t="s">
        <v>1</v>
      </c>
      <c r="M115" s="7" t="s">
        <v>27</v>
      </c>
      <c r="N115" s="6" t="s">
        <v>1</v>
      </c>
      <c r="O115" s="13" t="s">
        <v>1</v>
      </c>
      <c r="P115" s="6" t="s">
        <v>1</v>
      </c>
    </row>
    <row r="116" spans="1:16" x14ac:dyDescent="0.25">
      <c r="A116" s="7" t="s">
        <v>584</v>
      </c>
      <c r="B116" s="6" t="s">
        <v>34</v>
      </c>
      <c r="C116" s="6" t="s">
        <v>512</v>
      </c>
      <c r="D116" s="6" t="s">
        <v>585</v>
      </c>
      <c r="E116" s="7" t="s">
        <v>63</v>
      </c>
      <c r="F116" s="7" t="s">
        <v>48</v>
      </c>
      <c r="G116" s="6" t="s">
        <v>514</v>
      </c>
      <c r="H116" s="6" t="s">
        <v>515</v>
      </c>
      <c r="I116" s="6" t="s">
        <v>407</v>
      </c>
      <c r="J116" s="6" t="s">
        <v>522</v>
      </c>
      <c r="K116" s="7" t="s">
        <v>85</v>
      </c>
      <c r="L116" s="6" t="s">
        <v>1</v>
      </c>
      <c r="M116" s="7" t="s">
        <v>27</v>
      </c>
      <c r="N116" s="6" t="s">
        <v>1</v>
      </c>
      <c r="O116" s="13" t="s">
        <v>1</v>
      </c>
      <c r="P116" s="6" t="s">
        <v>1</v>
      </c>
    </row>
    <row r="117" spans="1:16" x14ac:dyDescent="0.25">
      <c r="A117" s="7" t="s">
        <v>586</v>
      </c>
      <c r="B117" s="6" t="s">
        <v>34</v>
      </c>
      <c r="C117" s="6" t="s">
        <v>512</v>
      </c>
      <c r="D117" s="6" t="s">
        <v>587</v>
      </c>
      <c r="E117" s="7" t="s">
        <v>63</v>
      </c>
      <c r="F117" s="7" t="s">
        <v>48</v>
      </c>
      <c r="G117" s="6" t="s">
        <v>514</v>
      </c>
      <c r="H117" s="6" t="s">
        <v>515</v>
      </c>
      <c r="I117" s="6" t="s">
        <v>407</v>
      </c>
      <c r="J117" s="6" t="s">
        <v>522</v>
      </c>
      <c r="K117" s="7" t="s">
        <v>85</v>
      </c>
      <c r="L117" s="6" t="s">
        <v>1</v>
      </c>
      <c r="M117" s="7" t="s">
        <v>27</v>
      </c>
      <c r="N117" s="6" t="s">
        <v>1</v>
      </c>
      <c r="O117" s="13" t="s">
        <v>1</v>
      </c>
      <c r="P117" s="6" t="s">
        <v>1</v>
      </c>
    </row>
    <row r="118" spans="1:16" x14ac:dyDescent="0.25">
      <c r="A118" s="7" t="s">
        <v>588</v>
      </c>
      <c r="B118" s="6" t="s">
        <v>34</v>
      </c>
      <c r="C118" s="6" t="s">
        <v>512</v>
      </c>
      <c r="D118" s="6" t="s">
        <v>589</v>
      </c>
      <c r="E118" s="7" t="s">
        <v>63</v>
      </c>
      <c r="F118" s="7" t="s">
        <v>48</v>
      </c>
      <c r="G118" s="6" t="s">
        <v>514</v>
      </c>
      <c r="H118" s="6" t="s">
        <v>515</v>
      </c>
      <c r="I118" s="6" t="s">
        <v>407</v>
      </c>
      <c r="J118" s="6" t="s">
        <v>590</v>
      </c>
      <c r="K118" s="7" t="s">
        <v>85</v>
      </c>
      <c r="L118" s="6" t="s">
        <v>1</v>
      </c>
      <c r="M118" s="7" t="s">
        <v>27</v>
      </c>
      <c r="N118" s="6" t="s">
        <v>1</v>
      </c>
      <c r="O118" s="13" t="s">
        <v>1</v>
      </c>
      <c r="P118" s="6" t="s">
        <v>1</v>
      </c>
    </row>
    <row r="119" spans="1:16" x14ac:dyDescent="0.25">
      <c r="A119" s="7" t="s">
        <v>591</v>
      </c>
      <c r="B119" s="6" t="s">
        <v>34</v>
      </c>
      <c r="C119" s="6" t="s">
        <v>512</v>
      </c>
      <c r="D119" s="6" t="s">
        <v>592</v>
      </c>
      <c r="E119" s="7" t="s">
        <v>63</v>
      </c>
      <c r="F119" s="7" t="s">
        <v>48</v>
      </c>
      <c r="G119" s="6" t="s">
        <v>514</v>
      </c>
      <c r="H119" s="6" t="s">
        <v>515</v>
      </c>
      <c r="I119" s="6" t="s">
        <v>407</v>
      </c>
      <c r="J119" s="6" t="s">
        <v>593</v>
      </c>
      <c r="K119" s="7" t="s">
        <v>85</v>
      </c>
      <c r="L119" s="6" t="s">
        <v>1</v>
      </c>
      <c r="M119" s="7" t="s">
        <v>27</v>
      </c>
      <c r="N119" s="6" t="s">
        <v>1</v>
      </c>
      <c r="O119" s="13" t="s">
        <v>1</v>
      </c>
      <c r="P119" s="6" t="s">
        <v>1</v>
      </c>
    </row>
    <row r="120" spans="1:16" x14ac:dyDescent="0.25">
      <c r="A120" s="7" t="s">
        <v>594</v>
      </c>
      <c r="B120" s="6" t="s">
        <v>34</v>
      </c>
      <c r="C120" s="6" t="s">
        <v>512</v>
      </c>
      <c r="D120" s="6" t="s">
        <v>595</v>
      </c>
      <c r="E120" s="7" t="s">
        <v>63</v>
      </c>
      <c r="F120" s="7" t="s">
        <v>48</v>
      </c>
      <c r="G120" s="6" t="s">
        <v>514</v>
      </c>
      <c r="H120" s="6" t="s">
        <v>515</v>
      </c>
      <c r="I120" s="6" t="s">
        <v>407</v>
      </c>
      <c r="J120" s="6" t="s">
        <v>596</v>
      </c>
      <c r="K120" s="7" t="s">
        <v>85</v>
      </c>
      <c r="L120" s="6" t="s">
        <v>1</v>
      </c>
      <c r="M120" s="7" t="s">
        <v>27</v>
      </c>
      <c r="N120" s="6" t="s">
        <v>1</v>
      </c>
      <c r="O120" s="13" t="s">
        <v>1</v>
      </c>
      <c r="P120" s="6" t="s">
        <v>1</v>
      </c>
    </row>
    <row r="121" spans="1:16" x14ac:dyDescent="0.25">
      <c r="A121" s="7" t="s">
        <v>597</v>
      </c>
      <c r="B121" s="6" t="s">
        <v>34</v>
      </c>
      <c r="C121" s="6" t="s">
        <v>512</v>
      </c>
      <c r="D121" s="6" t="s">
        <v>598</v>
      </c>
      <c r="E121" s="7" t="s">
        <v>63</v>
      </c>
      <c r="F121" s="7" t="s">
        <v>48</v>
      </c>
      <c r="G121" s="6" t="s">
        <v>514</v>
      </c>
      <c r="H121" s="6" t="s">
        <v>515</v>
      </c>
      <c r="I121" s="6" t="s">
        <v>407</v>
      </c>
      <c r="J121" s="6" t="s">
        <v>522</v>
      </c>
      <c r="K121" s="7" t="s">
        <v>85</v>
      </c>
      <c r="L121" s="6" t="s">
        <v>1</v>
      </c>
      <c r="M121" s="7" t="s">
        <v>27</v>
      </c>
      <c r="N121" s="6" t="s">
        <v>1</v>
      </c>
      <c r="O121" s="13" t="s">
        <v>1</v>
      </c>
      <c r="P121" s="6" t="s">
        <v>1</v>
      </c>
    </row>
    <row r="122" spans="1:16" x14ac:dyDescent="0.25">
      <c r="A122" s="7" t="s">
        <v>599</v>
      </c>
      <c r="B122" s="6" t="s">
        <v>34</v>
      </c>
      <c r="C122" s="6" t="s">
        <v>512</v>
      </c>
      <c r="D122" s="6" t="s">
        <v>600</v>
      </c>
      <c r="E122" s="7" t="s">
        <v>63</v>
      </c>
      <c r="F122" s="7" t="s">
        <v>48</v>
      </c>
      <c r="G122" s="6" t="s">
        <v>514</v>
      </c>
      <c r="H122" s="6" t="s">
        <v>515</v>
      </c>
      <c r="I122" s="6" t="s">
        <v>407</v>
      </c>
      <c r="J122" s="6" t="s">
        <v>601</v>
      </c>
      <c r="K122" s="7" t="s">
        <v>85</v>
      </c>
      <c r="L122" s="6" t="s">
        <v>1</v>
      </c>
      <c r="M122" s="7" t="s">
        <v>27</v>
      </c>
      <c r="N122" s="6" t="s">
        <v>1</v>
      </c>
      <c r="O122" s="13" t="s">
        <v>1</v>
      </c>
      <c r="P122" s="6" t="s">
        <v>1</v>
      </c>
    </row>
    <row r="123" spans="1:16" x14ac:dyDescent="0.25">
      <c r="A123" s="7" t="s">
        <v>602</v>
      </c>
      <c r="B123" s="6" t="s">
        <v>34</v>
      </c>
      <c r="C123" s="6" t="s">
        <v>512</v>
      </c>
      <c r="D123" s="6" t="s">
        <v>603</v>
      </c>
      <c r="E123" s="7" t="s">
        <v>63</v>
      </c>
      <c r="F123" s="7" t="s">
        <v>48</v>
      </c>
      <c r="G123" s="6" t="s">
        <v>514</v>
      </c>
      <c r="H123" s="6" t="s">
        <v>515</v>
      </c>
      <c r="I123" s="6" t="s">
        <v>407</v>
      </c>
      <c r="J123" s="6" t="s">
        <v>604</v>
      </c>
      <c r="K123" s="7" t="s">
        <v>85</v>
      </c>
      <c r="L123" s="6" t="s">
        <v>1</v>
      </c>
      <c r="M123" s="7" t="s">
        <v>27</v>
      </c>
      <c r="N123" s="6" t="s">
        <v>1</v>
      </c>
      <c r="O123" s="13" t="s">
        <v>1</v>
      </c>
      <c r="P123" s="6" t="s">
        <v>1</v>
      </c>
    </row>
    <row r="124" spans="1:16" x14ac:dyDescent="0.25">
      <c r="A124" s="7" t="s">
        <v>605</v>
      </c>
      <c r="B124" s="6" t="s">
        <v>34</v>
      </c>
      <c r="C124" s="6" t="s">
        <v>512</v>
      </c>
      <c r="D124" s="6" t="s">
        <v>606</v>
      </c>
      <c r="E124" s="7" t="s">
        <v>63</v>
      </c>
      <c r="F124" s="7" t="s">
        <v>48</v>
      </c>
      <c r="G124" s="6" t="s">
        <v>514</v>
      </c>
      <c r="H124" s="6" t="s">
        <v>515</v>
      </c>
      <c r="I124" s="6" t="s">
        <v>407</v>
      </c>
      <c r="J124" s="6" t="s">
        <v>607</v>
      </c>
      <c r="K124" s="7" t="s">
        <v>85</v>
      </c>
      <c r="L124" s="6" t="s">
        <v>1</v>
      </c>
      <c r="M124" s="7" t="s">
        <v>27</v>
      </c>
      <c r="N124" s="6" t="s">
        <v>1</v>
      </c>
      <c r="O124" s="13" t="s">
        <v>1</v>
      </c>
      <c r="P124" s="6" t="s">
        <v>1</v>
      </c>
    </row>
    <row r="125" spans="1:16" x14ac:dyDescent="0.25">
      <c r="A125" s="7" t="s">
        <v>608</v>
      </c>
      <c r="B125" s="6" t="s">
        <v>34</v>
      </c>
      <c r="C125" s="6" t="s">
        <v>512</v>
      </c>
      <c r="D125" s="6" t="s">
        <v>609</v>
      </c>
      <c r="E125" s="7" t="s">
        <v>63</v>
      </c>
      <c r="F125" s="7" t="s">
        <v>48</v>
      </c>
      <c r="G125" s="6" t="s">
        <v>514</v>
      </c>
      <c r="H125" s="6" t="s">
        <v>515</v>
      </c>
      <c r="I125" s="6" t="s">
        <v>407</v>
      </c>
      <c r="J125" s="6" t="s">
        <v>610</v>
      </c>
      <c r="K125" s="7" t="s">
        <v>85</v>
      </c>
      <c r="L125" s="6" t="s">
        <v>1</v>
      </c>
      <c r="M125" s="7" t="s">
        <v>27</v>
      </c>
      <c r="N125" s="6" t="s">
        <v>1</v>
      </c>
      <c r="O125" s="13" t="s">
        <v>1</v>
      </c>
      <c r="P125" s="6" t="s">
        <v>1</v>
      </c>
    </row>
    <row r="126" spans="1:16" x14ac:dyDescent="0.25">
      <c r="A126" s="7" t="s">
        <v>611</v>
      </c>
      <c r="B126" s="6" t="s">
        <v>34</v>
      </c>
      <c r="C126" s="6" t="s">
        <v>512</v>
      </c>
      <c r="D126" s="6" t="s">
        <v>612</v>
      </c>
      <c r="E126" s="7" t="s">
        <v>63</v>
      </c>
      <c r="F126" s="7" t="s">
        <v>48</v>
      </c>
      <c r="G126" s="6" t="s">
        <v>514</v>
      </c>
      <c r="H126" s="6" t="s">
        <v>515</v>
      </c>
      <c r="I126" s="6" t="s">
        <v>407</v>
      </c>
      <c r="J126" s="6" t="s">
        <v>522</v>
      </c>
      <c r="K126" s="7" t="s">
        <v>85</v>
      </c>
      <c r="L126" s="6" t="s">
        <v>1</v>
      </c>
      <c r="M126" s="7" t="s">
        <v>27</v>
      </c>
      <c r="N126" s="6" t="s">
        <v>1</v>
      </c>
      <c r="O126" s="13" t="s">
        <v>1</v>
      </c>
      <c r="P126" s="6" t="s">
        <v>1</v>
      </c>
    </row>
    <row r="127" spans="1:16" x14ac:dyDescent="0.25">
      <c r="A127" s="7" t="s">
        <v>613</v>
      </c>
      <c r="B127" s="6" t="s">
        <v>34</v>
      </c>
      <c r="C127" s="6" t="s">
        <v>512</v>
      </c>
      <c r="D127" s="6" t="s">
        <v>614</v>
      </c>
      <c r="E127" s="7" t="s">
        <v>63</v>
      </c>
      <c r="F127" s="7" t="s">
        <v>48</v>
      </c>
      <c r="G127" s="6" t="s">
        <v>514</v>
      </c>
      <c r="H127" s="6" t="s">
        <v>515</v>
      </c>
      <c r="I127" s="6" t="s">
        <v>407</v>
      </c>
      <c r="J127" s="6" t="s">
        <v>522</v>
      </c>
      <c r="K127" s="7" t="s">
        <v>85</v>
      </c>
      <c r="L127" s="6" t="s">
        <v>1</v>
      </c>
      <c r="M127" s="7" t="s">
        <v>27</v>
      </c>
      <c r="N127" s="6" t="s">
        <v>1</v>
      </c>
      <c r="O127" s="13" t="s">
        <v>1</v>
      </c>
      <c r="P127" s="6" t="s">
        <v>1</v>
      </c>
    </row>
    <row r="128" spans="1:16" x14ac:dyDescent="0.25">
      <c r="A128" s="7" t="s">
        <v>615</v>
      </c>
      <c r="B128" s="6" t="s">
        <v>34</v>
      </c>
      <c r="C128" s="6" t="s">
        <v>512</v>
      </c>
      <c r="D128" s="6" t="s">
        <v>616</v>
      </c>
      <c r="E128" s="7" t="s">
        <v>63</v>
      </c>
      <c r="F128" s="7" t="s">
        <v>48</v>
      </c>
      <c r="G128" s="6" t="s">
        <v>514</v>
      </c>
      <c r="H128" s="6" t="s">
        <v>515</v>
      </c>
      <c r="I128" s="6" t="s">
        <v>407</v>
      </c>
      <c r="J128" s="6" t="s">
        <v>617</v>
      </c>
      <c r="K128" s="7" t="s">
        <v>85</v>
      </c>
      <c r="L128" s="6" t="s">
        <v>1</v>
      </c>
      <c r="M128" s="7" t="s">
        <v>27</v>
      </c>
      <c r="N128" s="6" t="s">
        <v>1</v>
      </c>
      <c r="O128" s="13" t="s">
        <v>1</v>
      </c>
      <c r="P128" s="6" t="s">
        <v>1</v>
      </c>
    </row>
    <row r="129" spans="1:16" x14ac:dyDescent="0.25">
      <c r="A129" s="7" t="s">
        <v>618</v>
      </c>
      <c r="B129" s="6" t="s">
        <v>34</v>
      </c>
      <c r="C129" s="6" t="s">
        <v>512</v>
      </c>
      <c r="D129" s="6" t="s">
        <v>619</v>
      </c>
      <c r="E129" s="7" t="s">
        <v>63</v>
      </c>
      <c r="F129" s="7" t="s">
        <v>48</v>
      </c>
      <c r="G129" s="6" t="s">
        <v>514</v>
      </c>
      <c r="H129" s="6" t="s">
        <v>515</v>
      </c>
      <c r="I129" s="6" t="s">
        <v>407</v>
      </c>
      <c r="J129" s="6" t="s">
        <v>620</v>
      </c>
      <c r="K129" s="7" t="s">
        <v>85</v>
      </c>
      <c r="L129" s="6" t="s">
        <v>1</v>
      </c>
      <c r="M129" s="7" t="s">
        <v>27</v>
      </c>
      <c r="N129" s="6" t="s">
        <v>1</v>
      </c>
      <c r="O129" s="13" t="s">
        <v>1</v>
      </c>
      <c r="P129" s="6" t="s">
        <v>1</v>
      </c>
    </row>
    <row r="130" spans="1:16" x14ac:dyDescent="0.25">
      <c r="A130" s="7" t="s">
        <v>621</v>
      </c>
      <c r="B130" s="6" t="s">
        <v>34</v>
      </c>
      <c r="C130" s="6" t="s">
        <v>512</v>
      </c>
      <c r="D130" s="6" t="s">
        <v>622</v>
      </c>
      <c r="E130" s="7" t="s">
        <v>63</v>
      </c>
      <c r="F130" s="7" t="s">
        <v>48</v>
      </c>
      <c r="G130" s="6" t="s">
        <v>514</v>
      </c>
      <c r="H130" s="6" t="s">
        <v>515</v>
      </c>
      <c r="I130" s="6" t="s">
        <v>407</v>
      </c>
      <c r="J130" s="6" t="s">
        <v>623</v>
      </c>
      <c r="K130" s="7" t="s">
        <v>85</v>
      </c>
      <c r="L130" s="6" t="s">
        <v>1</v>
      </c>
      <c r="M130" s="7" t="s">
        <v>27</v>
      </c>
      <c r="N130" s="6" t="s">
        <v>1</v>
      </c>
      <c r="O130" s="13" t="s">
        <v>1</v>
      </c>
      <c r="P130" s="6" t="s">
        <v>1</v>
      </c>
    </row>
    <row r="131" spans="1:16" x14ac:dyDescent="0.25">
      <c r="A131" s="7" t="s">
        <v>624</v>
      </c>
      <c r="B131" s="6" t="s">
        <v>34</v>
      </c>
      <c r="C131" s="6" t="s">
        <v>512</v>
      </c>
      <c r="D131" s="6" t="s">
        <v>625</v>
      </c>
      <c r="E131" s="7" t="s">
        <v>63</v>
      </c>
      <c r="F131" s="7" t="s">
        <v>48</v>
      </c>
      <c r="G131" s="6" t="s">
        <v>514</v>
      </c>
      <c r="H131" s="6" t="s">
        <v>515</v>
      </c>
      <c r="I131" s="6" t="s">
        <v>407</v>
      </c>
      <c r="J131" s="6" t="s">
        <v>626</v>
      </c>
      <c r="K131" s="7" t="s">
        <v>85</v>
      </c>
      <c r="L131" s="6" t="s">
        <v>1</v>
      </c>
      <c r="M131" s="7" t="s">
        <v>27</v>
      </c>
      <c r="N131" s="6" t="s">
        <v>1</v>
      </c>
      <c r="O131" s="13" t="s">
        <v>1</v>
      </c>
      <c r="P131" s="6" t="s">
        <v>1</v>
      </c>
    </row>
    <row r="132" spans="1:16" x14ac:dyDescent="0.25">
      <c r="A132" s="7" t="s">
        <v>627</v>
      </c>
      <c r="B132" s="6" t="s">
        <v>34</v>
      </c>
      <c r="C132" s="6" t="s">
        <v>512</v>
      </c>
      <c r="D132" s="6" t="s">
        <v>628</v>
      </c>
      <c r="E132" s="7" t="s">
        <v>63</v>
      </c>
      <c r="F132" s="7" t="s">
        <v>48</v>
      </c>
      <c r="G132" s="6" t="s">
        <v>514</v>
      </c>
      <c r="H132" s="6" t="s">
        <v>515</v>
      </c>
      <c r="I132" s="6" t="s">
        <v>629</v>
      </c>
      <c r="J132" s="6" t="s">
        <v>630</v>
      </c>
      <c r="K132" s="7" t="s">
        <v>85</v>
      </c>
      <c r="L132" s="6" t="s">
        <v>1</v>
      </c>
      <c r="M132" s="7" t="s">
        <v>27</v>
      </c>
      <c r="N132" s="6" t="s">
        <v>1</v>
      </c>
      <c r="O132" s="13" t="s">
        <v>1</v>
      </c>
      <c r="P132" s="6" t="s">
        <v>1</v>
      </c>
    </row>
    <row r="133" spans="1:16" x14ac:dyDescent="0.25">
      <c r="A133" s="7" t="s">
        <v>631</v>
      </c>
      <c r="B133" s="6" t="s">
        <v>34</v>
      </c>
      <c r="C133" s="6" t="s">
        <v>512</v>
      </c>
      <c r="D133" s="6" t="s">
        <v>632</v>
      </c>
      <c r="E133" s="7" t="s">
        <v>63</v>
      </c>
      <c r="F133" s="7" t="s">
        <v>48</v>
      </c>
      <c r="G133" s="6" t="s">
        <v>514</v>
      </c>
      <c r="H133" s="6" t="s">
        <v>515</v>
      </c>
      <c r="I133" s="6" t="s">
        <v>407</v>
      </c>
      <c r="J133" s="6" t="s">
        <v>633</v>
      </c>
      <c r="K133" s="7" t="s">
        <v>85</v>
      </c>
      <c r="L133" s="6" t="s">
        <v>1</v>
      </c>
      <c r="M133" s="7" t="s">
        <v>27</v>
      </c>
      <c r="N133" s="6" t="s">
        <v>1</v>
      </c>
      <c r="O133" s="13" t="s">
        <v>1</v>
      </c>
      <c r="P133" s="6" t="s">
        <v>1</v>
      </c>
    </row>
    <row r="134" spans="1:16" x14ac:dyDescent="0.25">
      <c r="A134" s="7" t="s">
        <v>634</v>
      </c>
      <c r="B134" s="6" t="s">
        <v>34</v>
      </c>
      <c r="C134" s="6" t="s">
        <v>635</v>
      </c>
      <c r="D134" s="6" t="s">
        <v>636</v>
      </c>
      <c r="E134" s="7" t="s">
        <v>53</v>
      </c>
      <c r="F134" s="7" t="s">
        <v>50</v>
      </c>
      <c r="G134" s="6" t="s">
        <v>88</v>
      </c>
      <c r="H134" s="6" t="s">
        <v>637</v>
      </c>
      <c r="I134" s="6" t="s">
        <v>638</v>
      </c>
      <c r="J134" s="6" t="s">
        <v>639</v>
      </c>
      <c r="K134" s="7" t="s">
        <v>102</v>
      </c>
      <c r="L134" s="6" t="s">
        <v>1</v>
      </c>
      <c r="M134" s="7" t="s">
        <v>27</v>
      </c>
      <c r="N134" s="6" t="s">
        <v>1</v>
      </c>
      <c r="O134" s="13" t="s">
        <v>1</v>
      </c>
      <c r="P134" s="6" t="s">
        <v>1</v>
      </c>
    </row>
    <row r="135" spans="1:16" x14ac:dyDescent="0.25">
      <c r="A135" s="7" t="s">
        <v>640</v>
      </c>
      <c r="B135" s="6" t="s">
        <v>34</v>
      </c>
      <c r="C135" s="6" t="s">
        <v>635</v>
      </c>
      <c r="D135" s="6" t="s">
        <v>641</v>
      </c>
      <c r="E135" s="7" t="s">
        <v>53</v>
      </c>
      <c r="F135" s="7" t="s">
        <v>50</v>
      </c>
      <c r="G135" s="6" t="s">
        <v>88</v>
      </c>
      <c r="H135" s="6" t="s">
        <v>642</v>
      </c>
      <c r="I135" s="6" t="s">
        <v>638</v>
      </c>
      <c r="J135" s="6" t="s">
        <v>643</v>
      </c>
      <c r="K135" s="7" t="s">
        <v>102</v>
      </c>
      <c r="L135" s="6" t="s">
        <v>1</v>
      </c>
      <c r="M135" s="7" t="s">
        <v>27</v>
      </c>
      <c r="N135" s="6" t="s">
        <v>1</v>
      </c>
      <c r="O135" s="13" t="s">
        <v>1</v>
      </c>
      <c r="P135" s="6" t="s">
        <v>1</v>
      </c>
    </row>
    <row r="136" spans="1:16" x14ac:dyDescent="0.25">
      <c r="A136" s="7" t="s">
        <v>644</v>
      </c>
      <c r="B136" s="6" t="s">
        <v>34</v>
      </c>
      <c r="C136" s="6" t="s">
        <v>635</v>
      </c>
      <c r="D136" s="6" t="s">
        <v>645</v>
      </c>
      <c r="E136" s="7" t="s">
        <v>53</v>
      </c>
      <c r="F136" s="7" t="s">
        <v>51</v>
      </c>
      <c r="G136" s="6" t="s">
        <v>88</v>
      </c>
      <c r="H136" s="6" t="s">
        <v>642</v>
      </c>
      <c r="I136" s="6" t="s">
        <v>638</v>
      </c>
      <c r="J136" s="6" t="s">
        <v>646</v>
      </c>
      <c r="K136" s="7" t="s">
        <v>102</v>
      </c>
      <c r="L136" s="6" t="s">
        <v>1</v>
      </c>
      <c r="M136" s="7" t="s">
        <v>27</v>
      </c>
      <c r="N136" s="6" t="s">
        <v>1</v>
      </c>
      <c r="O136" s="13" t="s">
        <v>1</v>
      </c>
      <c r="P136" s="6" t="s">
        <v>1</v>
      </c>
    </row>
    <row r="137" spans="1:16" x14ac:dyDescent="0.25">
      <c r="A137" s="7" t="s">
        <v>647</v>
      </c>
      <c r="B137" s="6" t="s">
        <v>35</v>
      </c>
      <c r="C137" s="6" t="s">
        <v>648</v>
      </c>
      <c r="D137" s="6" t="s">
        <v>649</v>
      </c>
      <c r="E137" s="7" t="s">
        <v>61</v>
      </c>
      <c r="F137" s="7" t="s">
        <v>49</v>
      </c>
      <c r="G137" s="6" t="s">
        <v>650</v>
      </c>
      <c r="H137" s="6" t="s">
        <v>651</v>
      </c>
      <c r="I137" s="6" t="s">
        <v>88</v>
      </c>
      <c r="J137" s="6" t="s">
        <v>652</v>
      </c>
      <c r="K137" s="7" t="s">
        <v>85</v>
      </c>
      <c r="L137" s="6" t="s">
        <v>1</v>
      </c>
      <c r="M137" s="7" t="s">
        <v>27</v>
      </c>
      <c r="N137" s="6" t="s">
        <v>1</v>
      </c>
      <c r="O137" s="13" t="s">
        <v>1</v>
      </c>
      <c r="P137" s="6" t="s">
        <v>1</v>
      </c>
    </row>
    <row r="138" spans="1:16" x14ac:dyDescent="0.25">
      <c r="A138" s="7" t="s">
        <v>653</v>
      </c>
      <c r="B138" s="6" t="s">
        <v>35</v>
      </c>
      <c r="C138" s="6" t="s">
        <v>648</v>
      </c>
      <c r="D138" s="6" t="s">
        <v>654</v>
      </c>
      <c r="E138" s="7" t="s">
        <v>56</v>
      </c>
      <c r="F138" s="7" t="s">
        <v>48</v>
      </c>
      <c r="G138" s="6" t="s">
        <v>655</v>
      </c>
      <c r="H138" s="6" t="s">
        <v>656</v>
      </c>
      <c r="I138" s="6" t="s">
        <v>657</v>
      </c>
      <c r="J138" s="6" t="s">
        <v>658</v>
      </c>
      <c r="K138" s="7" t="s">
        <v>85</v>
      </c>
      <c r="L138" s="6" t="s">
        <v>1</v>
      </c>
      <c r="M138" s="7" t="s">
        <v>27</v>
      </c>
      <c r="N138" s="6" t="s">
        <v>1</v>
      </c>
      <c r="O138" s="13" t="s">
        <v>1</v>
      </c>
      <c r="P138" s="6" t="s">
        <v>1</v>
      </c>
    </row>
    <row r="139" spans="1:16" x14ac:dyDescent="0.25">
      <c r="A139" s="7" t="s">
        <v>659</v>
      </c>
      <c r="B139" s="6" t="s">
        <v>35</v>
      </c>
      <c r="C139" s="6" t="s">
        <v>648</v>
      </c>
      <c r="D139" s="6" t="s">
        <v>660</v>
      </c>
      <c r="E139" s="7" t="s">
        <v>56</v>
      </c>
      <c r="F139" s="7" t="s">
        <v>49</v>
      </c>
      <c r="G139" s="6" t="s">
        <v>88</v>
      </c>
      <c r="H139" s="6" t="s">
        <v>661</v>
      </c>
      <c r="I139" s="6" t="s">
        <v>662</v>
      </c>
      <c r="J139" s="6" t="s">
        <v>663</v>
      </c>
      <c r="K139" s="7" t="s">
        <v>85</v>
      </c>
      <c r="L139" s="6" t="s">
        <v>1</v>
      </c>
      <c r="M139" s="7" t="s">
        <v>27</v>
      </c>
      <c r="N139" s="6" t="s">
        <v>1</v>
      </c>
      <c r="O139" s="13" t="s">
        <v>1</v>
      </c>
      <c r="P139" s="6" t="s">
        <v>1</v>
      </c>
    </row>
    <row r="140" spans="1:16" x14ac:dyDescent="0.25">
      <c r="A140" s="7" t="s">
        <v>664</v>
      </c>
      <c r="B140" s="6" t="s">
        <v>35</v>
      </c>
      <c r="C140" s="6" t="s">
        <v>648</v>
      </c>
      <c r="D140" s="6" t="s">
        <v>665</v>
      </c>
      <c r="E140" s="7" t="s">
        <v>56</v>
      </c>
      <c r="F140" s="7" t="s">
        <v>49</v>
      </c>
      <c r="G140" s="6" t="s">
        <v>88</v>
      </c>
      <c r="H140" s="6" t="s">
        <v>666</v>
      </c>
      <c r="I140" s="6" t="s">
        <v>88</v>
      </c>
      <c r="J140" s="6" t="s">
        <v>667</v>
      </c>
      <c r="K140" s="7" t="s">
        <v>85</v>
      </c>
      <c r="L140" s="6" t="s">
        <v>1</v>
      </c>
      <c r="M140" s="7" t="s">
        <v>27</v>
      </c>
      <c r="N140" s="6" t="s">
        <v>1</v>
      </c>
      <c r="O140" s="13" t="s">
        <v>1</v>
      </c>
      <c r="P140" s="6" t="s">
        <v>1</v>
      </c>
    </row>
    <row r="141" spans="1:16" x14ac:dyDescent="0.25">
      <c r="A141" s="7" t="s">
        <v>668</v>
      </c>
      <c r="B141" s="6" t="s">
        <v>35</v>
      </c>
      <c r="C141" s="6" t="s">
        <v>648</v>
      </c>
      <c r="D141" s="6" t="s">
        <v>669</v>
      </c>
      <c r="E141" s="7" t="s">
        <v>56</v>
      </c>
      <c r="F141" s="7" t="s">
        <v>49</v>
      </c>
      <c r="G141" s="6" t="s">
        <v>670</v>
      </c>
      <c r="H141" s="6" t="s">
        <v>671</v>
      </c>
      <c r="I141" s="6" t="s">
        <v>88</v>
      </c>
      <c r="J141" s="6" t="s">
        <v>672</v>
      </c>
      <c r="K141" s="7" t="s">
        <v>85</v>
      </c>
      <c r="L141" s="6" t="s">
        <v>1</v>
      </c>
      <c r="M141" s="7" t="s">
        <v>27</v>
      </c>
      <c r="N141" s="6" t="s">
        <v>1</v>
      </c>
      <c r="O141" s="13" t="s">
        <v>1</v>
      </c>
      <c r="P141" s="6" t="s">
        <v>1</v>
      </c>
    </row>
    <row r="142" spans="1:16" x14ac:dyDescent="0.25">
      <c r="A142" s="7" t="s">
        <v>673</v>
      </c>
      <c r="B142" s="6" t="s">
        <v>35</v>
      </c>
      <c r="C142" s="6" t="s">
        <v>648</v>
      </c>
      <c r="D142" s="6" t="s">
        <v>674</v>
      </c>
      <c r="E142" s="7" t="s">
        <v>56</v>
      </c>
      <c r="F142" s="7" t="s">
        <v>50</v>
      </c>
      <c r="G142" s="6" t="s">
        <v>675</v>
      </c>
      <c r="H142" s="6" t="s">
        <v>676</v>
      </c>
      <c r="I142" s="6" t="s">
        <v>295</v>
      </c>
      <c r="J142" s="6" t="s">
        <v>677</v>
      </c>
      <c r="K142" s="7" t="s">
        <v>85</v>
      </c>
      <c r="L142" s="6" t="s">
        <v>1</v>
      </c>
      <c r="M142" s="7" t="s">
        <v>27</v>
      </c>
      <c r="N142" s="6" t="s">
        <v>1</v>
      </c>
      <c r="O142" s="13" t="s">
        <v>1</v>
      </c>
      <c r="P142" s="6" t="s">
        <v>1</v>
      </c>
    </row>
    <row r="143" spans="1:16" x14ac:dyDescent="0.25">
      <c r="A143" s="7" t="s">
        <v>678</v>
      </c>
      <c r="B143" s="6" t="s">
        <v>35</v>
      </c>
      <c r="C143" s="6" t="s">
        <v>648</v>
      </c>
      <c r="D143" s="6" t="s">
        <v>679</v>
      </c>
      <c r="E143" s="7" t="s">
        <v>56</v>
      </c>
      <c r="F143" s="7" t="s">
        <v>49</v>
      </c>
      <c r="G143" s="6" t="s">
        <v>680</v>
      </c>
      <c r="H143" s="6" t="s">
        <v>681</v>
      </c>
      <c r="I143" s="6" t="s">
        <v>88</v>
      </c>
      <c r="J143" s="6" t="s">
        <v>682</v>
      </c>
      <c r="K143" s="7" t="s">
        <v>85</v>
      </c>
      <c r="L143" s="6" t="s">
        <v>1</v>
      </c>
      <c r="M143" s="7" t="s">
        <v>27</v>
      </c>
      <c r="N143" s="6" t="s">
        <v>1</v>
      </c>
      <c r="O143" s="13" t="s">
        <v>1</v>
      </c>
      <c r="P143" s="6" t="s">
        <v>1</v>
      </c>
    </row>
    <row r="144" spans="1:16" x14ac:dyDescent="0.25">
      <c r="A144" s="7" t="s">
        <v>683</v>
      </c>
      <c r="B144" s="6" t="s">
        <v>35</v>
      </c>
      <c r="C144" s="6" t="s">
        <v>648</v>
      </c>
      <c r="D144" s="6" t="s">
        <v>684</v>
      </c>
      <c r="E144" s="7" t="s">
        <v>61</v>
      </c>
      <c r="F144" s="7" t="s">
        <v>51</v>
      </c>
      <c r="G144" s="6" t="s">
        <v>88</v>
      </c>
      <c r="H144" s="6" t="s">
        <v>685</v>
      </c>
      <c r="I144" s="6" t="s">
        <v>88</v>
      </c>
      <c r="J144" s="6" t="s">
        <v>686</v>
      </c>
      <c r="K144" s="7" t="s">
        <v>85</v>
      </c>
      <c r="L144" s="6" t="s">
        <v>1</v>
      </c>
      <c r="M144" s="7" t="s">
        <v>27</v>
      </c>
      <c r="N144" s="6" t="s">
        <v>1</v>
      </c>
      <c r="O144" s="13" t="s">
        <v>1</v>
      </c>
      <c r="P144" s="6" t="s">
        <v>1</v>
      </c>
    </row>
    <row r="145" spans="1:16" x14ac:dyDescent="0.25">
      <c r="A145" s="7" t="s">
        <v>687</v>
      </c>
      <c r="B145" s="6" t="s">
        <v>35</v>
      </c>
      <c r="C145" s="6" t="s">
        <v>648</v>
      </c>
      <c r="D145" s="6" t="s">
        <v>688</v>
      </c>
      <c r="E145" s="7" t="s">
        <v>43</v>
      </c>
      <c r="F145" s="7" t="s">
        <v>48</v>
      </c>
      <c r="G145" s="6" t="s">
        <v>88</v>
      </c>
      <c r="H145" s="6" t="s">
        <v>689</v>
      </c>
      <c r="I145" s="6" t="s">
        <v>88</v>
      </c>
      <c r="J145" s="6" t="s">
        <v>690</v>
      </c>
      <c r="K145" s="7" t="s">
        <v>85</v>
      </c>
      <c r="L145" s="6" t="s">
        <v>1</v>
      </c>
      <c r="M145" s="7" t="s">
        <v>27</v>
      </c>
      <c r="N145" s="6" t="s">
        <v>1</v>
      </c>
      <c r="O145" s="13" t="s">
        <v>1</v>
      </c>
      <c r="P145" s="6" t="s">
        <v>1</v>
      </c>
    </row>
    <row r="146" spans="1:16" x14ac:dyDescent="0.25">
      <c r="A146" s="7" t="s">
        <v>691</v>
      </c>
      <c r="B146" s="6" t="s">
        <v>35</v>
      </c>
      <c r="C146" s="6" t="s">
        <v>692</v>
      </c>
      <c r="D146" s="6" t="s">
        <v>693</v>
      </c>
      <c r="E146" s="7" t="s">
        <v>56</v>
      </c>
      <c r="F146" s="7" t="s">
        <v>48</v>
      </c>
      <c r="G146" s="6" t="s">
        <v>88</v>
      </c>
      <c r="H146" s="6" t="s">
        <v>694</v>
      </c>
      <c r="I146" s="6" t="s">
        <v>88</v>
      </c>
      <c r="J146" s="6" t="s">
        <v>695</v>
      </c>
      <c r="K146" s="7" t="s">
        <v>85</v>
      </c>
      <c r="L146" s="6" t="s">
        <v>1</v>
      </c>
      <c r="M146" s="7" t="s">
        <v>27</v>
      </c>
      <c r="N146" s="6" t="s">
        <v>1</v>
      </c>
      <c r="O146" s="13" t="s">
        <v>1</v>
      </c>
      <c r="P146" s="6" t="s">
        <v>1</v>
      </c>
    </row>
    <row r="147" spans="1:16" x14ac:dyDescent="0.25">
      <c r="A147" s="7" t="s">
        <v>696</v>
      </c>
      <c r="B147" s="6" t="s">
        <v>35</v>
      </c>
      <c r="C147" s="6" t="s">
        <v>692</v>
      </c>
      <c r="D147" s="6" t="s">
        <v>697</v>
      </c>
      <c r="E147" s="7" t="s">
        <v>56</v>
      </c>
      <c r="F147" s="7" t="s">
        <v>49</v>
      </c>
      <c r="G147" s="6" t="s">
        <v>88</v>
      </c>
      <c r="H147" s="6" t="s">
        <v>698</v>
      </c>
      <c r="I147" s="6" t="s">
        <v>88</v>
      </c>
      <c r="J147" s="6" t="s">
        <v>699</v>
      </c>
      <c r="K147" s="7" t="s">
        <v>85</v>
      </c>
      <c r="L147" s="6" t="s">
        <v>1</v>
      </c>
      <c r="M147" s="7" t="s">
        <v>27</v>
      </c>
      <c r="N147" s="6" t="s">
        <v>1</v>
      </c>
      <c r="O147" s="13" t="s">
        <v>1</v>
      </c>
      <c r="P147" s="6" t="s">
        <v>1</v>
      </c>
    </row>
    <row r="148" spans="1:16" x14ac:dyDescent="0.25">
      <c r="A148" s="7" t="s">
        <v>700</v>
      </c>
      <c r="B148" s="6" t="s">
        <v>35</v>
      </c>
      <c r="C148" s="6" t="s">
        <v>692</v>
      </c>
      <c r="D148" s="6" t="s">
        <v>701</v>
      </c>
      <c r="E148" s="7" t="s">
        <v>56</v>
      </c>
      <c r="F148" s="7" t="s">
        <v>49</v>
      </c>
      <c r="G148" s="6" t="s">
        <v>702</v>
      </c>
      <c r="H148" s="6" t="s">
        <v>703</v>
      </c>
      <c r="I148" s="6" t="s">
        <v>88</v>
      </c>
      <c r="J148" s="6" t="s">
        <v>704</v>
      </c>
      <c r="K148" s="7" t="s">
        <v>85</v>
      </c>
      <c r="L148" s="6" t="s">
        <v>1</v>
      </c>
      <c r="M148" s="7" t="s">
        <v>27</v>
      </c>
      <c r="N148" s="6" t="s">
        <v>1</v>
      </c>
      <c r="O148" s="13" t="s">
        <v>1</v>
      </c>
      <c r="P148" s="6" t="s">
        <v>1</v>
      </c>
    </row>
    <row r="149" spans="1:16" x14ac:dyDescent="0.25">
      <c r="A149" s="7" t="s">
        <v>705</v>
      </c>
      <c r="B149" s="6" t="s">
        <v>35</v>
      </c>
      <c r="C149" s="6" t="s">
        <v>692</v>
      </c>
      <c r="D149" s="6" t="s">
        <v>706</v>
      </c>
      <c r="E149" s="7" t="s">
        <v>56</v>
      </c>
      <c r="F149" s="7" t="s">
        <v>49</v>
      </c>
      <c r="G149" s="6" t="s">
        <v>707</v>
      </c>
      <c r="H149" s="6" t="s">
        <v>703</v>
      </c>
      <c r="I149" s="6" t="s">
        <v>88</v>
      </c>
      <c r="J149" s="6" t="s">
        <v>708</v>
      </c>
      <c r="K149" s="7" t="s">
        <v>85</v>
      </c>
      <c r="L149" s="6" t="s">
        <v>1</v>
      </c>
      <c r="M149" s="7" t="s">
        <v>27</v>
      </c>
      <c r="N149" s="6" t="s">
        <v>1</v>
      </c>
      <c r="O149" s="13" t="s">
        <v>1</v>
      </c>
      <c r="P149" s="6" t="s">
        <v>1</v>
      </c>
    </row>
    <row r="150" spans="1:16" x14ac:dyDescent="0.25">
      <c r="A150" s="7" t="s">
        <v>709</v>
      </c>
      <c r="B150" s="6" t="s">
        <v>35</v>
      </c>
      <c r="C150" s="6" t="s">
        <v>692</v>
      </c>
      <c r="D150" s="6" t="s">
        <v>710</v>
      </c>
      <c r="E150" s="7" t="s">
        <v>56</v>
      </c>
      <c r="F150" s="7" t="s">
        <v>48</v>
      </c>
      <c r="G150" s="6" t="s">
        <v>711</v>
      </c>
      <c r="H150" s="6" t="s">
        <v>703</v>
      </c>
      <c r="I150" s="6" t="s">
        <v>88</v>
      </c>
      <c r="J150" s="6" t="s">
        <v>712</v>
      </c>
      <c r="K150" s="7" t="s">
        <v>85</v>
      </c>
      <c r="L150" s="6" t="s">
        <v>1</v>
      </c>
      <c r="M150" s="7" t="s">
        <v>27</v>
      </c>
      <c r="N150" s="6" t="s">
        <v>1</v>
      </c>
      <c r="O150" s="13" t="s">
        <v>1</v>
      </c>
      <c r="P150" s="6" t="s">
        <v>1</v>
      </c>
    </row>
    <row r="151" spans="1:16" x14ac:dyDescent="0.25">
      <c r="A151" s="7" t="s">
        <v>713</v>
      </c>
      <c r="B151" s="6" t="s">
        <v>35</v>
      </c>
      <c r="C151" s="6" t="s">
        <v>692</v>
      </c>
      <c r="D151" s="6" t="s">
        <v>714</v>
      </c>
      <c r="E151" s="7" t="s">
        <v>56</v>
      </c>
      <c r="F151" s="7" t="s">
        <v>49</v>
      </c>
      <c r="G151" s="6" t="s">
        <v>715</v>
      </c>
      <c r="H151" s="6" t="s">
        <v>703</v>
      </c>
      <c r="I151" s="6" t="s">
        <v>88</v>
      </c>
      <c r="J151" s="6" t="s">
        <v>716</v>
      </c>
      <c r="K151" s="7" t="s">
        <v>85</v>
      </c>
      <c r="L151" s="6" t="s">
        <v>1</v>
      </c>
      <c r="M151" s="7" t="s">
        <v>27</v>
      </c>
      <c r="N151" s="6" t="s">
        <v>1</v>
      </c>
      <c r="O151" s="13" t="s">
        <v>1</v>
      </c>
      <c r="P151" s="6" t="s">
        <v>1</v>
      </c>
    </row>
    <row r="152" spans="1:16" x14ac:dyDescent="0.25">
      <c r="A152" s="7" t="s">
        <v>717</v>
      </c>
      <c r="B152" s="6" t="s">
        <v>35</v>
      </c>
      <c r="C152" s="6" t="s">
        <v>692</v>
      </c>
      <c r="D152" s="6" t="s">
        <v>718</v>
      </c>
      <c r="E152" s="7" t="s">
        <v>56</v>
      </c>
      <c r="F152" s="7" t="s">
        <v>50</v>
      </c>
      <c r="G152" s="6" t="s">
        <v>88</v>
      </c>
      <c r="H152" s="6" t="s">
        <v>719</v>
      </c>
      <c r="I152" s="6" t="s">
        <v>88</v>
      </c>
      <c r="J152" s="6" t="s">
        <v>720</v>
      </c>
      <c r="K152" s="7" t="s">
        <v>85</v>
      </c>
      <c r="L152" s="6" t="s">
        <v>1</v>
      </c>
      <c r="M152" s="7" t="s">
        <v>27</v>
      </c>
      <c r="N152" s="6" t="s">
        <v>1</v>
      </c>
      <c r="O152" s="13" t="s">
        <v>1</v>
      </c>
      <c r="P152" s="6" t="s">
        <v>1</v>
      </c>
    </row>
    <row r="153" spans="1:16" x14ac:dyDescent="0.25">
      <c r="A153" s="7" t="s">
        <v>721</v>
      </c>
      <c r="B153" s="6" t="s">
        <v>35</v>
      </c>
      <c r="C153" s="6" t="s">
        <v>692</v>
      </c>
      <c r="D153" s="6" t="s">
        <v>722</v>
      </c>
      <c r="E153" s="7" t="s">
        <v>56</v>
      </c>
      <c r="F153" s="7" t="s">
        <v>49</v>
      </c>
      <c r="G153" s="6" t="s">
        <v>88</v>
      </c>
      <c r="H153" s="6" t="s">
        <v>723</v>
      </c>
      <c r="I153" s="6" t="s">
        <v>88</v>
      </c>
      <c r="J153" s="6" t="s">
        <v>724</v>
      </c>
      <c r="K153" s="7" t="s">
        <v>85</v>
      </c>
      <c r="L153" s="6" t="s">
        <v>1</v>
      </c>
      <c r="M153" s="7" t="s">
        <v>27</v>
      </c>
      <c r="N153" s="6" t="s">
        <v>1</v>
      </c>
      <c r="O153" s="13" t="s">
        <v>1</v>
      </c>
      <c r="P153" s="6" t="s">
        <v>1</v>
      </c>
    </row>
    <row r="154" spans="1:16" x14ac:dyDescent="0.25">
      <c r="A154" s="7" t="s">
        <v>725</v>
      </c>
      <c r="B154" s="6" t="s">
        <v>35</v>
      </c>
      <c r="C154" s="6" t="s">
        <v>692</v>
      </c>
      <c r="D154" s="6" t="s">
        <v>726</v>
      </c>
      <c r="E154" s="7" t="s">
        <v>56</v>
      </c>
      <c r="F154" s="7" t="s">
        <v>51</v>
      </c>
      <c r="G154" s="6" t="s">
        <v>88</v>
      </c>
      <c r="H154" s="6" t="s">
        <v>727</v>
      </c>
      <c r="I154" s="6" t="s">
        <v>88</v>
      </c>
      <c r="J154" s="6" t="s">
        <v>728</v>
      </c>
      <c r="K154" s="7" t="s">
        <v>85</v>
      </c>
      <c r="L154" s="6" t="s">
        <v>1</v>
      </c>
      <c r="M154" s="7" t="s">
        <v>27</v>
      </c>
      <c r="N154" s="6" t="s">
        <v>1</v>
      </c>
      <c r="O154" s="13" t="s">
        <v>1</v>
      </c>
      <c r="P154" s="6" t="s">
        <v>1</v>
      </c>
    </row>
    <row r="155" spans="1:16" x14ac:dyDescent="0.25">
      <c r="A155" s="7" t="s">
        <v>729</v>
      </c>
      <c r="B155" s="6" t="s">
        <v>35</v>
      </c>
      <c r="C155" s="6" t="s">
        <v>692</v>
      </c>
      <c r="D155" s="6" t="s">
        <v>730</v>
      </c>
      <c r="E155" s="7" t="s">
        <v>43</v>
      </c>
      <c r="F155" s="7" t="s">
        <v>48</v>
      </c>
      <c r="G155" s="6" t="s">
        <v>88</v>
      </c>
      <c r="H155" s="6" t="s">
        <v>731</v>
      </c>
      <c r="I155" s="6" t="s">
        <v>88</v>
      </c>
      <c r="J155" s="6" t="s">
        <v>732</v>
      </c>
      <c r="K155" s="7" t="s">
        <v>85</v>
      </c>
      <c r="L155" s="6" t="s">
        <v>1</v>
      </c>
      <c r="M155" s="7" t="s">
        <v>27</v>
      </c>
      <c r="N155" s="6" t="s">
        <v>1</v>
      </c>
      <c r="O155" s="13" t="s">
        <v>1</v>
      </c>
      <c r="P155" s="6" t="s">
        <v>1</v>
      </c>
    </row>
    <row r="156" spans="1:16" x14ac:dyDescent="0.25">
      <c r="A156" s="7" t="s">
        <v>733</v>
      </c>
      <c r="B156" s="6" t="s">
        <v>35</v>
      </c>
      <c r="C156" s="6" t="s">
        <v>692</v>
      </c>
      <c r="D156" s="6" t="s">
        <v>734</v>
      </c>
      <c r="E156" s="7" t="s">
        <v>61</v>
      </c>
      <c r="F156" s="7" t="s">
        <v>51</v>
      </c>
      <c r="G156" s="6" t="s">
        <v>88</v>
      </c>
      <c r="H156" s="6" t="s">
        <v>735</v>
      </c>
      <c r="I156" s="6" t="s">
        <v>88</v>
      </c>
      <c r="J156" s="6" t="s">
        <v>736</v>
      </c>
      <c r="K156" s="7" t="s">
        <v>85</v>
      </c>
      <c r="L156" s="6" t="s">
        <v>1</v>
      </c>
      <c r="M156" s="7" t="s">
        <v>27</v>
      </c>
      <c r="N156" s="6" t="s">
        <v>1</v>
      </c>
      <c r="O156" s="13" t="s">
        <v>1</v>
      </c>
      <c r="P156" s="6" t="s">
        <v>1</v>
      </c>
    </row>
    <row r="157" spans="1:16" x14ac:dyDescent="0.25">
      <c r="A157" s="7" t="s">
        <v>737</v>
      </c>
      <c r="B157" s="6" t="s">
        <v>36</v>
      </c>
      <c r="C157" s="6" t="s">
        <v>738</v>
      </c>
      <c r="D157" s="6" t="s">
        <v>739</v>
      </c>
      <c r="E157" s="7" t="s">
        <v>56</v>
      </c>
      <c r="F157" s="7" t="s">
        <v>48</v>
      </c>
      <c r="G157" s="6" t="s">
        <v>88</v>
      </c>
      <c r="H157" s="6" t="s">
        <v>740</v>
      </c>
      <c r="I157" s="6" t="s">
        <v>295</v>
      </c>
      <c r="J157" s="6" t="s">
        <v>741</v>
      </c>
      <c r="K157" s="7" t="s">
        <v>85</v>
      </c>
      <c r="L157" s="6" t="s">
        <v>1</v>
      </c>
      <c r="M157" s="7" t="s">
        <v>27</v>
      </c>
      <c r="N157" s="6" t="s">
        <v>1</v>
      </c>
      <c r="O157" s="13" t="s">
        <v>1</v>
      </c>
      <c r="P157" s="6" t="s">
        <v>1</v>
      </c>
    </row>
    <row r="158" spans="1:16" x14ac:dyDescent="0.25">
      <c r="A158" s="7" t="s">
        <v>742</v>
      </c>
      <c r="B158" s="6" t="s">
        <v>36</v>
      </c>
      <c r="C158" s="6" t="s">
        <v>738</v>
      </c>
      <c r="D158" s="6" t="s">
        <v>743</v>
      </c>
      <c r="E158" s="7" t="s">
        <v>56</v>
      </c>
      <c r="F158" s="7" t="s">
        <v>48</v>
      </c>
      <c r="G158" s="6" t="s">
        <v>744</v>
      </c>
      <c r="H158" s="6" t="s">
        <v>651</v>
      </c>
      <c r="I158" s="6" t="s">
        <v>745</v>
      </c>
      <c r="J158" s="6" t="s">
        <v>746</v>
      </c>
      <c r="K158" s="7" t="s">
        <v>85</v>
      </c>
      <c r="L158" s="6" t="s">
        <v>1</v>
      </c>
      <c r="M158" s="7" t="s">
        <v>27</v>
      </c>
      <c r="N158" s="6" t="s">
        <v>1</v>
      </c>
      <c r="O158" s="13" t="s">
        <v>1</v>
      </c>
      <c r="P158" s="6" t="s">
        <v>1</v>
      </c>
    </row>
    <row r="159" spans="1:16" x14ac:dyDescent="0.25">
      <c r="A159" s="7" t="s">
        <v>747</v>
      </c>
      <c r="B159" s="6" t="s">
        <v>36</v>
      </c>
      <c r="C159" s="6" t="s">
        <v>738</v>
      </c>
      <c r="D159" s="6" t="s">
        <v>748</v>
      </c>
      <c r="E159" s="7" t="s">
        <v>56</v>
      </c>
      <c r="F159" s="7" t="s">
        <v>48</v>
      </c>
      <c r="G159" s="6" t="s">
        <v>749</v>
      </c>
      <c r="H159" s="6" t="s">
        <v>651</v>
      </c>
      <c r="I159" s="6" t="s">
        <v>750</v>
      </c>
      <c r="J159" s="6" t="s">
        <v>751</v>
      </c>
      <c r="K159" s="7" t="s">
        <v>85</v>
      </c>
      <c r="L159" s="6" t="s">
        <v>1</v>
      </c>
      <c r="M159" s="7" t="s">
        <v>27</v>
      </c>
      <c r="N159" s="6" t="s">
        <v>1</v>
      </c>
      <c r="O159" s="13" t="s">
        <v>1</v>
      </c>
      <c r="P159" s="6" t="s">
        <v>1</v>
      </c>
    </row>
    <row r="160" spans="1:16" x14ac:dyDescent="0.25">
      <c r="A160" s="7" t="s">
        <v>752</v>
      </c>
      <c r="B160" s="6" t="s">
        <v>36</v>
      </c>
      <c r="C160" s="6" t="s">
        <v>738</v>
      </c>
      <c r="D160" s="6" t="s">
        <v>753</v>
      </c>
      <c r="E160" s="7" t="s">
        <v>56</v>
      </c>
      <c r="F160" s="7" t="s">
        <v>48</v>
      </c>
      <c r="G160" s="6" t="s">
        <v>754</v>
      </c>
      <c r="H160" s="6" t="s">
        <v>755</v>
      </c>
      <c r="I160" s="6" t="s">
        <v>756</v>
      </c>
      <c r="J160" s="6" t="s">
        <v>757</v>
      </c>
      <c r="K160" s="7" t="s">
        <v>85</v>
      </c>
      <c r="L160" s="6" t="s">
        <v>1</v>
      </c>
      <c r="M160" s="7" t="s">
        <v>27</v>
      </c>
      <c r="N160" s="6" t="s">
        <v>1</v>
      </c>
      <c r="O160" s="13" t="s">
        <v>1</v>
      </c>
      <c r="P160" s="6" t="s">
        <v>1</v>
      </c>
    </row>
    <row r="161" spans="1:16" x14ac:dyDescent="0.25">
      <c r="A161" s="7" t="s">
        <v>758</v>
      </c>
      <c r="B161" s="6" t="s">
        <v>36</v>
      </c>
      <c r="C161" s="6" t="s">
        <v>738</v>
      </c>
      <c r="D161" s="6" t="s">
        <v>759</v>
      </c>
      <c r="E161" s="7" t="s">
        <v>56</v>
      </c>
      <c r="F161" s="7" t="s">
        <v>48</v>
      </c>
      <c r="G161" s="6" t="s">
        <v>88</v>
      </c>
      <c r="H161" s="6" t="s">
        <v>760</v>
      </c>
      <c r="I161" s="6" t="s">
        <v>761</v>
      </c>
      <c r="J161" s="6" t="s">
        <v>762</v>
      </c>
      <c r="K161" s="7" t="s">
        <v>85</v>
      </c>
      <c r="L161" s="6" t="s">
        <v>1</v>
      </c>
      <c r="M161" s="7" t="s">
        <v>27</v>
      </c>
      <c r="N161" s="6" t="s">
        <v>1</v>
      </c>
      <c r="O161" s="13" t="s">
        <v>1</v>
      </c>
      <c r="P161" s="6" t="s">
        <v>1</v>
      </c>
    </row>
    <row r="162" spans="1:16" x14ac:dyDescent="0.25">
      <c r="A162" s="7" t="s">
        <v>763</v>
      </c>
      <c r="B162" s="6" t="s">
        <v>36</v>
      </c>
      <c r="C162" s="6" t="s">
        <v>738</v>
      </c>
      <c r="D162" s="6" t="s">
        <v>764</v>
      </c>
      <c r="E162" s="7" t="s">
        <v>56</v>
      </c>
      <c r="F162" s="7" t="s">
        <v>48</v>
      </c>
      <c r="G162" s="6" t="s">
        <v>711</v>
      </c>
      <c r="H162" s="6" t="s">
        <v>671</v>
      </c>
      <c r="I162" s="6" t="s">
        <v>88</v>
      </c>
      <c r="J162" s="6" t="s">
        <v>765</v>
      </c>
      <c r="K162" s="7" t="s">
        <v>85</v>
      </c>
      <c r="L162" s="6" t="s">
        <v>1</v>
      </c>
      <c r="M162" s="7" t="s">
        <v>27</v>
      </c>
      <c r="N162" s="6" t="s">
        <v>1</v>
      </c>
      <c r="O162" s="13" t="s">
        <v>1</v>
      </c>
      <c r="P162" s="6" t="s">
        <v>1</v>
      </c>
    </row>
    <row r="163" spans="1:16" x14ac:dyDescent="0.25">
      <c r="A163" s="7" t="s">
        <v>766</v>
      </c>
      <c r="B163" s="6" t="s">
        <v>36</v>
      </c>
      <c r="C163" s="6" t="s">
        <v>738</v>
      </c>
      <c r="D163" s="6" t="s">
        <v>767</v>
      </c>
      <c r="E163" s="7" t="s">
        <v>56</v>
      </c>
      <c r="F163" s="7" t="s">
        <v>48</v>
      </c>
      <c r="G163" s="6" t="s">
        <v>768</v>
      </c>
      <c r="H163" s="6" t="s">
        <v>769</v>
      </c>
      <c r="I163" s="6" t="s">
        <v>770</v>
      </c>
      <c r="J163" s="6" t="s">
        <v>771</v>
      </c>
      <c r="K163" s="7" t="s">
        <v>85</v>
      </c>
      <c r="L163" s="6" t="s">
        <v>1</v>
      </c>
      <c r="M163" s="7" t="s">
        <v>27</v>
      </c>
      <c r="N163" s="6" t="s">
        <v>1</v>
      </c>
      <c r="O163" s="13" t="s">
        <v>1</v>
      </c>
      <c r="P163" s="6" t="s">
        <v>1</v>
      </c>
    </row>
    <row r="164" spans="1:16" x14ac:dyDescent="0.25">
      <c r="A164" s="7" t="s">
        <v>772</v>
      </c>
      <c r="B164" s="6" t="s">
        <v>36</v>
      </c>
      <c r="C164" s="6" t="s">
        <v>738</v>
      </c>
      <c r="D164" s="6" t="s">
        <v>773</v>
      </c>
      <c r="E164" s="7" t="s">
        <v>58</v>
      </c>
      <c r="F164" s="7" t="s">
        <v>48</v>
      </c>
      <c r="G164" s="6" t="s">
        <v>707</v>
      </c>
      <c r="H164" s="6" t="s">
        <v>774</v>
      </c>
      <c r="I164" s="6" t="s">
        <v>88</v>
      </c>
      <c r="J164" s="6" t="s">
        <v>775</v>
      </c>
      <c r="K164" s="7" t="s">
        <v>85</v>
      </c>
      <c r="L164" s="6" t="s">
        <v>1</v>
      </c>
      <c r="M164" s="7" t="s">
        <v>27</v>
      </c>
      <c r="N164" s="6" t="s">
        <v>1</v>
      </c>
      <c r="O164" s="13" t="s">
        <v>1</v>
      </c>
      <c r="P164" s="6" t="s">
        <v>1</v>
      </c>
    </row>
    <row r="165" spans="1:16" x14ac:dyDescent="0.25">
      <c r="A165" s="7" t="s">
        <v>776</v>
      </c>
      <c r="B165" s="6" t="s">
        <v>36</v>
      </c>
      <c r="C165" s="6" t="s">
        <v>738</v>
      </c>
      <c r="D165" s="6" t="s">
        <v>777</v>
      </c>
      <c r="E165" s="7" t="s">
        <v>58</v>
      </c>
      <c r="F165" s="7" t="s">
        <v>50</v>
      </c>
      <c r="G165" s="6" t="s">
        <v>778</v>
      </c>
      <c r="H165" s="6" t="s">
        <v>779</v>
      </c>
      <c r="I165" s="6" t="s">
        <v>88</v>
      </c>
      <c r="J165" s="6" t="s">
        <v>780</v>
      </c>
      <c r="K165" s="7" t="s">
        <v>85</v>
      </c>
      <c r="L165" s="6" t="s">
        <v>1</v>
      </c>
      <c r="M165" s="7" t="s">
        <v>27</v>
      </c>
      <c r="N165" s="6" t="s">
        <v>1</v>
      </c>
      <c r="O165" s="13" t="s">
        <v>1</v>
      </c>
      <c r="P165" s="6" t="s">
        <v>1</v>
      </c>
    </row>
    <row r="166" spans="1:16" x14ac:dyDescent="0.25">
      <c r="A166" s="7" t="s">
        <v>781</v>
      </c>
      <c r="B166" s="6" t="s">
        <v>36</v>
      </c>
      <c r="C166" s="6" t="s">
        <v>782</v>
      </c>
      <c r="D166" s="6" t="s">
        <v>783</v>
      </c>
      <c r="E166" s="7" t="s">
        <v>56</v>
      </c>
      <c r="F166" s="7" t="s">
        <v>49</v>
      </c>
      <c r="G166" s="6" t="s">
        <v>88</v>
      </c>
      <c r="H166" s="6" t="s">
        <v>784</v>
      </c>
      <c r="I166" s="6" t="s">
        <v>88</v>
      </c>
      <c r="J166" s="6" t="s">
        <v>785</v>
      </c>
      <c r="K166" s="7" t="s">
        <v>85</v>
      </c>
      <c r="L166" s="6" t="s">
        <v>1</v>
      </c>
      <c r="M166" s="7" t="s">
        <v>27</v>
      </c>
      <c r="N166" s="6" t="s">
        <v>1</v>
      </c>
      <c r="O166" s="13" t="s">
        <v>1</v>
      </c>
      <c r="P166" s="6" t="s">
        <v>1</v>
      </c>
    </row>
    <row r="167" spans="1:16" x14ac:dyDescent="0.25">
      <c r="A167" s="7" t="s">
        <v>786</v>
      </c>
      <c r="B167" s="6" t="s">
        <v>36</v>
      </c>
      <c r="C167" s="6" t="s">
        <v>787</v>
      </c>
      <c r="D167" s="6" t="s">
        <v>788</v>
      </c>
      <c r="E167" s="7" t="s">
        <v>57</v>
      </c>
      <c r="F167" s="7" t="s">
        <v>48</v>
      </c>
      <c r="G167" s="6" t="s">
        <v>243</v>
      </c>
      <c r="H167" s="6" t="s">
        <v>789</v>
      </c>
      <c r="I167" s="6" t="s">
        <v>88</v>
      </c>
      <c r="J167" s="6" t="s">
        <v>790</v>
      </c>
      <c r="K167" s="7" t="s">
        <v>85</v>
      </c>
      <c r="L167" s="6" t="s">
        <v>1</v>
      </c>
      <c r="M167" s="7" t="s">
        <v>27</v>
      </c>
      <c r="N167" s="6" t="s">
        <v>1</v>
      </c>
      <c r="O167" s="13" t="s">
        <v>1</v>
      </c>
      <c r="P167" s="6" t="s">
        <v>1</v>
      </c>
    </row>
    <row r="168" spans="1:16" x14ac:dyDescent="0.25">
      <c r="A168" s="7" t="s">
        <v>791</v>
      </c>
      <c r="B168" s="6" t="s">
        <v>36</v>
      </c>
      <c r="C168" s="6" t="s">
        <v>792</v>
      </c>
      <c r="D168" s="6" t="s">
        <v>793</v>
      </c>
      <c r="E168" s="7" t="s">
        <v>57</v>
      </c>
      <c r="F168" s="7" t="s">
        <v>48</v>
      </c>
      <c r="G168" s="6" t="s">
        <v>794</v>
      </c>
      <c r="H168" s="6" t="s">
        <v>795</v>
      </c>
      <c r="I168" s="6" t="s">
        <v>88</v>
      </c>
      <c r="J168" s="6" t="s">
        <v>796</v>
      </c>
      <c r="K168" s="7" t="s">
        <v>85</v>
      </c>
      <c r="L168" s="6" t="s">
        <v>1</v>
      </c>
      <c r="M168" s="7" t="s">
        <v>27</v>
      </c>
      <c r="N168" s="6" t="s">
        <v>1</v>
      </c>
      <c r="O168" s="13" t="s">
        <v>1</v>
      </c>
      <c r="P168" s="6" t="s">
        <v>1</v>
      </c>
    </row>
    <row r="169" spans="1:16" x14ac:dyDescent="0.25">
      <c r="A169" s="7" t="s">
        <v>797</v>
      </c>
      <c r="B169" s="6" t="s">
        <v>36</v>
      </c>
      <c r="C169" s="6" t="s">
        <v>792</v>
      </c>
      <c r="D169" s="6" t="s">
        <v>798</v>
      </c>
      <c r="E169" s="7" t="s">
        <v>57</v>
      </c>
      <c r="F169" s="7" t="s">
        <v>48</v>
      </c>
      <c r="G169" s="6" t="s">
        <v>88</v>
      </c>
      <c r="H169" s="6" t="s">
        <v>799</v>
      </c>
      <c r="I169" s="6" t="s">
        <v>88</v>
      </c>
      <c r="J169" s="6" t="s">
        <v>800</v>
      </c>
      <c r="K169" s="7" t="s">
        <v>85</v>
      </c>
      <c r="L169" s="6" t="s">
        <v>1</v>
      </c>
      <c r="M169" s="7" t="s">
        <v>27</v>
      </c>
      <c r="N169" s="6" t="s">
        <v>1</v>
      </c>
      <c r="O169" s="13" t="s">
        <v>1</v>
      </c>
      <c r="P169" s="6" t="s">
        <v>1</v>
      </c>
    </row>
    <row r="170" spans="1:16" x14ac:dyDescent="0.25">
      <c r="A170" s="7" t="s">
        <v>801</v>
      </c>
      <c r="B170" s="6" t="s">
        <v>36</v>
      </c>
      <c r="C170" s="6" t="s">
        <v>792</v>
      </c>
      <c r="D170" s="6" t="s">
        <v>802</v>
      </c>
      <c r="E170" s="7" t="s">
        <v>57</v>
      </c>
      <c r="F170" s="7" t="s">
        <v>49</v>
      </c>
      <c r="G170" s="6" t="s">
        <v>803</v>
      </c>
      <c r="H170" s="6" t="s">
        <v>804</v>
      </c>
      <c r="I170" s="6" t="s">
        <v>88</v>
      </c>
      <c r="J170" s="6" t="s">
        <v>805</v>
      </c>
      <c r="K170" s="7" t="s">
        <v>85</v>
      </c>
      <c r="L170" s="6" t="s">
        <v>1</v>
      </c>
      <c r="M170" s="7" t="s">
        <v>27</v>
      </c>
      <c r="N170" s="6" t="s">
        <v>1</v>
      </c>
      <c r="O170" s="13" t="s">
        <v>1</v>
      </c>
      <c r="P170" s="6" t="s">
        <v>1</v>
      </c>
    </row>
    <row r="171" spans="1:16" x14ac:dyDescent="0.25">
      <c r="A171" s="7" t="s">
        <v>806</v>
      </c>
      <c r="B171" s="6" t="s">
        <v>36</v>
      </c>
      <c r="C171" s="6" t="s">
        <v>792</v>
      </c>
      <c r="D171" s="6" t="s">
        <v>807</v>
      </c>
      <c r="E171" s="7" t="s">
        <v>56</v>
      </c>
      <c r="F171" s="7" t="s">
        <v>49</v>
      </c>
      <c r="G171" s="6" t="s">
        <v>808</v>
      </c>
      <c r="H171" s="6" t="s">
        <v>809</v>
      </c>
      <c r="I171" s="6" t="s">
        <v>88</v>
      </c>
      <c r="J171" s="6" t="s">
        <v>810</v>
      </c>
      <c r="K171" s="7" t="s">
        <v>85</v>
      </c>
      <c r="L171" s="6" t="s">
        <v>1</v>
      </c>
      <c r="M171" s="7" t="s">
        <v>27</v>
      </c>
      <c r="N171" s="6" t="s">
        <v>1</v>
      </c>
      <c r="O171" s="13" t="s">
        <v>1</v>
      </c>
      <c r="P171" s="6" t="s">
        <v>1</v>
      </c>
    </row>
    <row r="172" spans="1:16" x14ac:dyDescent="0.25">
      <c r="A172" s="7" t="s">
        <v>811</v>
      </c>
      <c r="B172" s="6" t="s">
        <v>36</v>
      </c>
      <c r="C172" s="6" t="s">
        <v>792</v>
      </c>
      <c r="D172" s="6" t="s">
        <v>812</v>
      </c>
      <c r="E172" s="7" t="s">
        <v>56</v>
      </c>
      <c r="F172" s="7" t="s">
        <v>48</v>
      </c>
      <c r="G172" s="6" t="s">
        <v>88</v>
      </c>
      <c r="H172" s="6" t="s">
        <v>813</v>
      </c>
      <c r="I172" s="6" t="s">
        <v>88</v>
      </c>
      <c r="J172" s="6" t="s">
        <v>814</v>
      </c>
      <c r="K172" s="7" t="s">
        <v>85</v>
      </c>
      <c r="L172" s="6" t="s">
        <v>1</v>
      </c>
      <c r="M172" s="7" t="s">
        <v>27</v>
      </c>
      <c r="N172" s="6" t="s">
        <v>1</v>
      </c>
      <c r="O172" s="13" t="s">
        <v>1</v>
      </c>
      <c r="P172" s="6" t="s">
        <v>1</v>
      </c>
    </row>
    <row r="173" spans="1:16" x14ac:dyDescent="0.25">
      <c r="A173" s="7" t="s">
        <v>815</v>
      </c>
      <c r="B173" s="6" t="s">
        <v>36</v>
      </c>
      <c r="C173" s="6" t="s">
        <v>792</v>
      </c>
      <c r="D173" s="6" t="s">
        <v>816</v>
      </c>
      <c r="E173" s="7" t="s">
        <v>56</v>
      </c>
      <c r="F173" s="7" t="s">
        <v>48</v>
      </c>
      <c r="G173" s="6" t="s">
        <v>808</v>
      </c>
      <c r="H173" s="6" t="s">
        <v>817</v>
      </c>
      <c r="I173" s="6" t="s">
        <v>88</v>
      </c>
      <c r="J173" s="6" t="s">
        <v>818</v>
      </c>
      <c r="K173" s="7" t="s">
        <v>85</v>
      </c>
      <c r="L173" s="6" t="s">
        <v>1</v>
      </c>
      <c r="M173" s="7" t="s">
        <v>27</v>
      </c>
      <c r="N173" s="6" t="s">
        <v>1</v>
      </c>
      <c r="O173" s="13" t="s">
        <v>1</v>
      </c>
      <c r="P173" s="6" t="s">
        <v>1</v>
      </c>
    </row>
    <row r="174" spans="1:16" x14ac:dyDescent="0.25">
      <c r="A174" s="7" t="s">
        <v>819</v>
      </c>
      <c r="B174" s="6" t="s">
        <v>36</v>
      </c>
      <c r="C174" s="6" t="s">
        <v>792</v>
      </c>
      <c r="D174" s="6" t="s">
        <v>820</v>
      </c>
      <c r="E174" s="7" t="s">
        <v>56</v>
      </c>
      <c r="F174" s="7" t="s">
        <v>48</v>
      </c>
      <c r="G174" s="6" t="s">
        <v>808</v>
      </c>
      <c r="H174" s="6" t="s">
        <v>821</v>
      </c>
      <c r="I174" s="6" t="s">
        <v>88</v>
      </c>
      <c r="J174" s="6" t="s">
        <v>822</v>
      </c>
      <c r="K174" s="7" t="s">
        <v>85</v>
      </c>
      <c r="L174" s="6" t="s">
        <v>1</v>
      </c>
      <c r="M174" s="7" t="s">
        <v>27</v>
      </c>
      <c r="N174" s="6" t="s">
        <v>1</v>
      </c>
      <c r="O174" s="13" t="s">
        <v>1</v>
      </c>
      <c r="P174" s="6" t="s">
        <v>1</v>
      </c>
    </row>
    <row r="175" spans="1:16" x14ac:dyDescent="0.25">
      <c r="A175" s="7" t="s">
        <v>823</v>
      </c>
      <c r="B175" s="6" t="s">
        <v>36</v>
      </c>
      <c r="C175" s="6" t="s">
        <v>738</v>
      </c>
      <c r="D175" s="6" t="s">
        <v>824</v>
      </c>
      <c r="E175" s="7" t="s">
        <v>56</v>
      </c>
      <c r="F175" s="7" t="s">
        <v>48</v>
      </c>
      <c r="G175" s="6" t="s">
        <v>825</v>
      </c>
      <c r="H175" s="6" t="s">
        <v>826</v>
      </c>
      <c r="I175" s="6" t="s">
        <v>88</v>
      </c>
      <c r="J175" s="6" t="s">
        <v>827</v>
      </c>
      <c r="K175" s="7" t="s">
        <v>85</v>
      </c>
      <c r="L175" s="6" t="s">
        <v>1</v>
      </c>
      <c r="M175" s="7" t="s">
        <v>27</v>
      </c>
      <c r="N175" s="6" t="s">
        <v>1</v>
      </c>
      <c r="O175" s="13" t="s">
        <v>1</v>
      </c>
      <c r="P175" s="6" t="s">
        <v>1</v>
      </c>
    </row>
    <row r="176" spans="1:16" x14ac:dyDescent="0.25">
      <c r="A176" s="7" t="s">
        <v>828</v>
      </c>
      <c r="B176" s="6" t="s">
        <v>36</v>
      </c>
      <c r="C176" s="6" t="s">
        <v>738</v>
      </c>
      <c r="D176" s="6" t="s">
        <v>829</v>
      </c>
      <c r="E176" s="7" t="s">
        <v>56</v>
      </c>
      <c r="F176" s="7" t="s">
        <v>49</v>
      </c>
      <c r="G176" s="6" t="s">
        <v>830</v>
      </c>
      <c r="H176" s="6" t="s">
        <v>831</v>
      </c>
      <c r="I176" s="6" t="s">
        <v>88</v>
      </c>
      <c r="J176" s="6" t="s">
        <v>832</v>
      </c>
      <c r="K176" s="7" t="s">
        <v>85</v>
      </c>
      <c r="L176" s="6" t="s">
        <v>1</v>
      </c>
      <c r="M176" s="7" t="s">
        <v>27</v>
      </c>
      <c r="N176" s="6" t="s">
        <v>1</v>
      </c>
      <c r="O176" s="13" t="s">
        <v>1</v>
      </c>
      <c r="P176" s="6" t="s">
        <v>1</v>
      </c>
    </row>
    <row r="177" spans="1:16" x14ac:dyDescent="0.25">
      <c r="A177" s="7" t="s">
        <v>833</v>
      </c>
      <c r="B177" s="6" t="s">
        <v>36</v>
      </c>
      <c r="C177" s="6" t="s">
        <v>66</v>
      </c>
      <c r="D177" s="6" t="s">
        <v>834</v>
      </c>
      <c r="E177" s="7" t="s">
        <v>57</v>
      </c>
      <c r="F177" s="7" t="s">
        <v>48</v>
      </c>
      <c r="G177" s="6" t="s">
        <v>835</v>
      </c>
      <c r="H177" s="6" t="s">
        <v>836</v>
      </c>
      <c r="I177" s="6" t="s">
        <v>657</v>
      </c>
      <c r="J177" s="6" t="s">
        <v>837</v>
      </c>
      <c r="K177" s="7" t="s">
        <v>85</v>
      </c>
      <c r="L177" s="6" t="s">
        <v>1</v>
      </c>
      <c r="M177" s="7" t="s">
        <v>27</v>
      </c>
      <c r="N177" s="6" t="s">
        <v>1</v>
      </c>
      <c r="O177" s="13" t="s">
        <v>1</v>
      </c>
      <c r="P177" s="6" t="s">
        <v>1</v>
      </c>
    </row>
    <row r="178" spans="1:16" x14ac:dyDescent="0.25">
      <c r="A178" s="7" t="s">
        <v>838</v>
      </c>
      <c r="B178" s="6" t="s">
        <v>37</v>
      </c>
      <c r="C178" s="6" t="s">
        <v>839</v>
      </c>
      <c r="D178" s="6" t="s">
        <v>840</v>
      </c>
      <c r="E178" s="7" t="s">
        <v>56</v>
      </c>
      <c r="F178" s="7" t="s">
        <v>48</v>
      </c>
      <c r="G178" s="6" t="s">
        <v>841</v>
      </c>
      <c r="H178" s="6" t="s">
        <v>842</v>
      </c>
      <c r="I178" s="6" t="s">
        <v>88</v>
      </c>
      <c r="J178" s="6" t="s">
        <v>843</v>
      </c>
      <c r="K178" s="7" t="s">
        <v>85</v>
      </c>
      <c r="L178" s="6" t="s">
        <v>1</v>
      </c>
      <c r="M178" s="7" t="s">
        <v>27</v>
      </c>
      <c r="N178" s="6" t="s">
        <v>1</v>
      </c>
      <c r="O178" s="13" t="s">
        <v>1</v>
      </c>
      <c r="P178" s="6" t="s">
        <v>1</v>
      </c>
    </row>
    <row r="179" spans="1:16" x14ac:dyDescent="0.25">
      <c r="A179" s="7" t="s">
        <v>844</v>
      </c>
      <c r="B179" s="6" t="s">
        <v>37</v>
      </c>
      <c r="C179" s="6" t="s">
        <v>839</v>
      </c>
      <c r="D179" s="6" t="s">
        <v>845</v>
      </c>
      <c r="E179" s="7" t="s">
        <v>56</v>
      </c>
      <c r="F179" s="7" t="s">
        <v>48</v>
      </c>
      <c r="G179" s="6" t="s">
        <v>88</v>
      </c>
      <c r="H179" s="6" t="s">
        <v>846</v>
      </c>
      <c r="I179" s="6" t="s">
        <v>88</v>
      </c>
      <c r="J179" s="6" t="s">
        <v>847</v>
      </c>
      <c r="K179" s="7" t="s">
        <v>85</v>
      </c>
      <c r="L179" s="6" t="s">
        <v>1</v>
      </c>
      <c r="M179" s="7" t="s">
        <v>27</v>
      </c>
      <c r="N179" s="6" t="s">
        <v>1</v>
      </c>
      <c r="O179" s="13" t="s">
        <v>1</v>
      </c>
      <c r="P179" s="6" t="s">
        <v>1</v>
      </c>
    </row>
    <row r="180" spans="1:16" x14ac:dyDescent="0.25">
      <c r="A180" s="7" t="s">
        <v>848</v>
      </c>
      <c r="B180" s="6" t="s">
        <v>37</v>
      </c>
      <c r="C180" s="6" t="s">
        <v>839</v>
      </c>
      <c r="D180" s="6" t="s">
        <v>849</v>
      </c>
      <c r="E180" s="7" t="s">
        <v>56</v>
      </c>
      <c r="F180" s="7" t="s">
        <v>49</v>
      </c>
      <c r="G180" s="6" t="s">
        <v>850</v>
      </c>
      <c r="H180" s="6" t="s">
        <v>851</v>
      </c>
      <c r="I180" s="6" t="s">
        <v>295</v>
      </c>
      <c r="J180" s="6" t="s">
        <v>852</v>
      </c>
      <c r="K180" s="7" t="s">
        <v>85</v>
      </c>
      <c r="L180" s="6" t="s">
        <v>1</v>
      </c>
      <c r="M180" s="7" t="s">
        <v>27</v>
      </c>
      <c r="N180" s="6" t="s">
        <v>1</v>
      </c>
      <c r="O180" s="13" t="s">
        <v>1</v>
      </c>
      <c r="P180" s="6" t="s">
        <v>1</v>
      </c>
    </row>
    <row r="181" spans="1:16" x14ac:dyDescent="0.25">
      <c r="A181" s="7" t="s">
        <v>853</v>
      </c>
      <c r="B181" s="6" t="s">
        <v>37</v>
      </c>
      <c r="C181" s="6" t="s">
        <v>839</v>
      </c>
      <c r="D181" s="6" t="s">
        <v>854</v>
      </c>
      <c r="E181" s="7" t="s">
        <v>56</v>
      </c>
      <c r="F181" s="7" t="s">
        <v>50</v>
      </c>
      <c r="G181" s="6" t="s">
        <v>88</v>
      </c>
      <c r="H181" s="6" t="s">
        <v>855</v>
      </c>
      <c r="I181" s="6" t="s">
        <v>88</v>
      </c>
      <c r="J181" s="6" t="s">
        <v>856</v>
      </c>
      <c r="K181" s="7" t="s">
        <v>85</v>
      </c>
      <c r="L181" s="6" t="s">
        <v>1</v>
      </c>
      <c r="M181" s="7" t="s">
        <v>27</v>
      </c>
      <c r="N181" s="6" t="s">
        <v>1</v>
      </c>
      <c r="O181" s="13" t="s">
        <v>1</v>
      </c>
      <c r="P181" s="6" t="s">
        <v>1</v>
      </c>
    </row>
    <row r="182" spans="1:16" x14ac:dyDescent="0.25">
      <c r="A182" s="7" t="s">
        <v>857</v>
      </c>
      <c r="B182" s="6" t="s">
        <v>37</v>
      </c>
      <c r="C182" s="6" t="s">
        <v>839</v>
      </c>
      <c r="D182" s="6" t="s">
        <v>858</v>
      </c>
      <c r="E182" s="7" t="s">
        <v>56</v>
      </c>
      <c r="F182" s="7" t="s">
        <v>49</v>
      </c>
      <c r="G182" s="6" t="s">
        <v>859</v>
      </c>
      <c r="H182" s="6" t="s">
        <v>860</v>
      </c>
      <c r="I182" s="6" t="s">
        <v>88</v>
      </c>
      <c r="J182" s="6" t="s">
        <v>861</v>
      </c>
      <c r="K182" s="7" t="s">
        <v>85</v>
      </c>
      <c r="L182" s="6" t="s">
        <v>1</v>
      </c>
      <c r="M182" s="7" t="s">
        <v>27</v>
      </c>
      <c r="N182" s="6" t="s">
        <v>1</v>
      </c>
      <c r="O182" s="13" t="s">
        <v>1</v>
      </c>
      <c r="P182" s="6" t="s">
        <v>1</v>
      </c>
    </row>
    <row r="183" spans="1:16" x14ac:dyDescent="0.25">
      <c r="A183" s="7" t="s">
        <v>862</v>
      </c>
      <c r="B183" s="6" t="s">
        <v>37</v>
      </c>
      <c r="C183" s="6" t="s">
        <v>839</v>
      </c>
      <c r="D183" s="6" t="s">
        <v>863</v>
      </c>
      <c r="E183" s="7" t="s">
        <v>56</v>
      </c>
      <c r="F183" s="7" t="s">
        <v>50</v>
      </c>
      <c r="G183" s="6" t="s">
        <v>864</v>
      </c>
      <c r="H183" s="6" t="s">
        <v>860</v>
      </c>
      <c r="I183" s="6" t="s">
        <v>88</v>
      </c>
      <c r="J183" s="6" t="s">
        <v>865</v>
      </c>
      <c r="K183" s="7" t="s">
        <v>85</v>
      </c>
      <c r="L183" s="6" t="s">
        <v>1</v>
      </c>
      <c r="M183" s="7" t="s">
        <v>27</v>
      </c>
      <c r="N183" s="6" t="s">
        <v>1</v>
      </c>
      <c r="O183" s="13" t="s">
        <v>1</v>
      </c>
      <c r="P183" s="6" t="s">
        <v>1</v>
      </c>
    </row>
    <row r="184" spans="1:16" x14ac:dyDescent="0.25">
      <c r="A184" s="7" t="s">
        <v>866</v>
      </c>
      <c r="B184" s="6" t="s">
        <v>37</v>
      </c>
      <c r="C184" s="6" t="s">
        <v>839</v>
      </c>
      <c r="D184" s="6" t="s">
        <v>867</v>
      </c>
      <c r="E184" s="7" t="s">
        <v>56</v>
      </c>
      <c r="F184" s="7" t="s">
        <v>50</v>
      </c>
      <c r="G184" s="6" t="s">
        <v>88</v>
      </c>
      <c r="H184" s="6" t="s">
        <v>868</v>
      </c>
      <c r="I184" s="6" t="s">
        <v>88</v>
      </c>
      <c r="J184" s="6" t="s">
        <v>869</v>
      </c>
      <c r="K184" s="7" t="s">
        <v>85</v>
      </c>
      <c r="L184" s="6" t="s">
        <v>1</v>
      </c>
      <c r="M184" s="7" t="s">
        <v>27</v>
      </c>
      <c r="N184" s="6" t="s">
        <v>1</v>
      </c>
      <c r="O184" s="13" t="s">
        <v>1</v>
      </c>
      <c r="P184" s="6" t="s">
        <v>1</v>
      </c>
    </row>
    <row r="185" spans="1:16" x14ac:dyDescent="0.25">
      <c r="A185" s="7" t="s">
        <v>870</v>
      </c>
      <c r="B185" s="6" t="s">
        <v>37</v>
      </c>
      <c r="C185" s="6" t="s">
        <v>839</v>
      </c>
      <c r="D185" s="6" t="s">
        <v>871</v>
      </c>
      <c r="E185" s="7" t="s">
        <v>56</v>
      </c>
      <c r="F185" s="7" t="s">
        <v>50</v>
      </c>
      <c r="G185" s="6" t="s">
        <v>872</v>
      </c>
      <c r="H185" s="6" t="s">
        <v>873</v>
      </c>
      <c r="I185" s="6" t="s">
        <v>88</v>
      </c>
      <c r="J185" s="6" t="s">
        <v>874</v>
      </c>
      <c r="K185" s="7" t="s">
        <v>85</v>
      </c>
      <c r="L185" s="6" t="s">
        <v>1</v>
      </c>
      <c r="M185" s="7" t="s">
        <v>27</v>
      </c>
      <c r="N185" s="6" t="s">
        <v>1</v>
      </c>
      <c r="O185" s="13" t="s">
        <v>1</v>
      </c>
      <c r="P185" s="6" t="s">
        <v>1</v>
      </c>
    </row>
    <row r="186" spans="1:16" x14ac:dyDescent="0.25">
      <c r="A186" s="7" t="s">
        <v>875</v>
      </c>
      <c r="B186" s="6" t="s">
        <v>37</v>
      </c>
      <c r="C186" s="6" t="s">
        <v>839</v>
      </c>
      <c r="D186" s="6" t="s">
        <v>876</v>
      </c>
      <c r="E186" s="7" t="s">
        <v>56</v>
      </c>
      <c r="F186" s="7" t="s">
        <v>50</v>
      </c>
      <c r="G186" s="6" t="s">
        <v>88</v>
      </c>
      <c r="H186" s="6" t="s">
        <v>681</v>
      </c>
      <c r="I186" s="6" t="s">
        <v>88</v>
      </c>
      <c r="J186" s="6" t="s">
        <v>877</v>
      </c>
      <c r="K186" s="7" t="s">
        <v>85</v>
      </c>
      <c r="L186" s="6" t="s">
        <v>1</v>
      </c>
      <c r="M186" s="7" t="s">
        <v>27</v>
      </c>
      <c r="N186" s="6" t="s">
        <v>1</v>
      </c>
      <c r="O186" s="13" t="s">
        <v>1</v>
      </c>
      <c r="P186" s="6" t="s">
        <v>1</v>
      </c>
    </row>
    <row r="187" spans="1:16" x14ac:dyDescent="0.25">
      <c r="A187" s="7" t="s">
        <v>878</v>
      </c>
      <c r="B187" s="6" t="s">
        <v>37</v>
      </c>
      <c r="C187" s="6" t="s">
        <v>879</v>
      </c>
      <c r="D187" s="6" t="s">
        <v>880</v>
      </c>
      <c r="E187" s="7" t="s">
        <v>56</v>
      </c>
      <c r="F187" s="7" t="s">
        <v>49</v>
      </c>
      <c r="G187" s="6" t="s">
        <v>88</v>
      </c>
      <c r="H187" s="6" t="s">
        <v>881</v>
      </c>
      <c r="I187" s="6" t="s">
        <v>88</v>
      </c>
      <c r="J187" s="6" t="s">
        <v>882</v>
      </c>
      <c r="K187" s="7" t="s">
        <v>85</v>
      </c>
      <c r="L187" s="6" t="s">
        <v>1</v>
      </c>
      <c r="M187" s="7" t="s">
        <v>27</v>
      </c>
      <c r="N187" s="6" t="s">
        <v>1</v>
      </c>
      <c r="O187" s="13" t="s">
        <v>1</v>
      </c>
      <c r="P187" s="6" t="s">
        <v>1</v>
      </c>
    </row>
    <row r="188" spans="1:16" x14ac:dyDescent="0.25">
      <c r="A188" s="7" t="s">
        <v>883</v>
      </c>
      <c r="B188" s="6" t="s">
        <v>37</v>
      </c>
      <c r="C188" s="6" t="s">
        <v>879</v>
      </c>
      <c r="D188" s="6" t="s">
        <v>884</v>
      </c>
      <c r="E188" s="7" t="s">
        <v>56</v>
      </c>
      <c r="F188" s="7" t="s">
        <v>50</v>
      </c>
      <c r="G188" s="6" t="s">
        <v>88</v>
      </c>
      <c r="H188" s="6" t="s">
        <v>885</v>
      </c>
      <c r="I188" s="6" t="s">
        <v>88</v>
      </c>
      <c r="J188" s="6" t="s">
        <v>886</v>
      </c>
      <c r="K188" s="7" t="s">
        <v>85</v>
      </c>
      <c r="L188" s="6" t="s">
        <v>1</v>
      </c>
      <c r="M188" s="7" t="s">
        <v>27</v>
      </c>
      <c r="N188" s="6" t="s">
        <v>1</v>
      </c>
      <c r="O188" s="13" t="s">
        <v>1</v>
      </c>
      <c r="P188" s="6" t="s">
        <v>1</v>
      </c>
    </row>
    <row r="189" spans="1:16" x14ac:dyDescent="0.25">
      <c r="A189" s="7" t="s">
        <v>887</v>
      </c>
      <c r="B189" s="6" t="s">
        <v>37</v>
      </c>
      <c r="C189" s="6" t="s">
        <v>888</v>
      </c>
      <c r="D189" s="6" t="s">
        <v>889</v>
      </c>
      <c r="E189" s="7" t="s">
        <v>56</v>
      </c>
      <c r="F189" s="7" t="s">
        <v>49</v>
      </c>
      <c r="G189" s="6" t="s">
        <v>88</v>
      </c>
      <c r="H189" s="6" t="s">
        <v>890</v>
      </c>
      <c r="I189" s="6" t="s">
        <v>88</v>
      </c>
      <c r="J189" s="6" t="s">
        <v>891</v>
      </c>
      <c r="K189" s="7" t="s">
        <v>85</v>
      </c>
      <c r="L189" s="6" t="s">
        <v>1</v>
      </c>
      <c r="M189" s="7" t="s">
        <v>27</v>
      </c>
      <c r="N189" s="6" t="s">
        <v>1</v>
      </c>
      <c r="O189" s="13" t="s">
        <v>1</v>
      </c>
      <c r="P189" s="6" t="s">
        <v>1</v>
      </c>
    </row>
    <row r="190" spans="1:16" x14ac:dyDescent="0.25">
      <c r="A190" s="7" t="s">
        <v>892</v>
      </c>
      <c r="B190" s="6" t="s">
        <v>37</v>
      </c>
      <c r="C190" s="6" t="s">
        <v>888</v>
      </c>
      <c r="D190" s="6" t="s">
        <v>893</v>
      </c>
      <c r="E190" s="7" t="s">
        <v>56</v>
      </c>
      <c r="F190" s="7" t="s">
        <v>50</v>
      </c>
      <c r="G190" s="6" t="s">
        <v>88</v>
      </c>
      <c r="H190" s="6" t="s">
        <v>894</v>
      </c>
      <c r="I190" s="6" t="s">
        <v>88</v>
      </c>
      <c r="J190" s="6" t="s">
        <v>895</v>
      </c>
      <c r="K190" s="7" t="s">
        <v>85</v>
      </c>
      <c r="L190" s="6" t="s">
        <v>1</v>
      </c>
      <c r="M190" s="7" t="s">
        <v>27</v>
      </c>
      <c r="N190" s="6" t="s">
        <v>1</v>
      </c>
      <c r="O190" s="13" t="s">
        <v>1</v>
      </c>
      <c r="P190" s="6" t="s">
        <v>1</v>
      </c>
    </row>
    <row r="191" spans="1:16" x14ac:dyDescent="0.25">
      <c r="A191" s="7" t="s">
        <v>896</v>
      </c>
      <c r="B191" s="6" t="s">
        <v>38</v>
      </c>
      <c r="C191" s="6" t="s">
        <v>278</v>
      </c>
      <c r="D191" s="6" t="s">
        <v>897</v>
      </c>
      <c r="E191" s="7" t="s">
        <v>61</v>
      </c>
      <c r="F191" s="7" t="s">
        <v>49</v>
      </c>
      <c r="G191" s="6" t="s">
        <v>88</v>
      </c>
      <c r="H191" s="6" t="s">
        <v>898</v>
      </c>
      <c r="I191" s="6" t="s">
        <v>88</v>
      </c>
      <c r="J191" s="6" t="s">
        <v>899</v>
      </c>
      <c r="K191" s="7" t="s">
        <v>85</v>
      </c>
      <c r="L191" s="6" t="s">
        <v>1</v>
      </c>
      <c r="M191" s="7" t="s">
        <v>27</v>
      </c>
      <c r="N191" s="6" t="s">
        <v>1</v>
      </c>
      <c r="O191" s="13" t="s">
        <v>1</v>
      </c>
      <c r="P191" s="6" t="s">
        <v>1</v>
      </c>
    </row>
    <row r="192" spans="1:16" x14ac:dyDescent="0.25">
      <c r="A192" s="7" t="s">
        <v>900</v>
      </c>
      <c r="B192" s="6" t="s">
        <v>38</v>
      </c>
      <c r="C192" s="6" t="s">
        <v>901</v>
      </c>
      <c r="D192" s="6" t="s">
        <v>902</v>
      </c>
      <c r="E192" s="7" t="s">
        <v>56</v>
      </c>
      <c r="F192" s="7" t="s">
        <v>48</v>
      </c>
      <c r="G192" s="6" t="s">
        <v>88</v>
      </c>
      <c r="H192" s="6" t="s">
        <v>903</v>
      </c>
      <c r="I192" s="6" t="s">
        <v>904</v>
      </c>
      <c r="J192" s="6" t="s">
        <v>905</v>
      </c>
      <c r="K192" s="7" t="s">
        <v>85</v>
      </c>
      <c r="L192" s="6" t="s">
        <v>1</v>
      </c>
      <c r="M192" s="7" t="s">
        <v>27</v>
      </c>
      <c r="N192" s="6" t="s">
        <v>1</v>
      </c>
      <c r="O192" s="13" t="s">
        <v>1</v>
      </c>
      <c r="P192" s="6" t="s">
        <v>1</v>
      </c>
    </row>
    <row r="193" spans="1:16" x14ac:dyDescent="0.25">
      <c r="A193" s="7" t="s">
        <v>906</v>
      </c>
      <c r="B193" s="6" t="s">
        <v>38</v>
      </c>
      <c r="C193" s="6" t="s">
        <v>901</v>
      </c>
      <c r="D193" s="6" t="s">
        <v>907</v>
      </c>
      <c r="E193" s="7" t="s">
        <v>56</v>
      </c>
      <c r="F193" s="7" t="s">
        <v>49</v>
      </c>
      <c r="G193" s="6" t="s">
        <v>88</v>
      </c>
      <c r="H193" s="6" t="s">
        <v>908</v>
      </c>
      <c r="I193" s="6" t="s">
        <v>909</v>
      </c>
      <c r="J193" s="6" t="s">
        <v>910</v>
      </c>
      <c r="K193" s="7" t="s">
        <v>85</v>
      </c>
      <c r="L193" s="6" t="s">
        <v>1</v>
      </c>
      <c r="M193" s="7" t="s">
        <v>27</v>
      </c>
      <c r="N193" s="6" t="s">
        <v>1</v>
      </c>
      <c r="O193" s="13" t="s">
        <v>1</v>
      </c>
      <c r="P193" s="6" t="s">
        <v>1</v>
      </c>
    </row>
    <row r="194" spans="1:16" x14ac:dyDescent="0.25">
      <c r="A194" s="7" t="s">
        <v>911</v>
      </c>
      <c r="B194" s="6" t="s">
        <v>38</v>
      </c>
      <c r="C194" s="6" t="s">
        <v>901</v>
      </c>
      <c r="D194" s="6" t="s">
        <v>912</v>
      </c>
      <c r="E194" s="7" t="s">
        <v>61</v>
      </c>
      <c r="F194" s="7" t="s">
        <v>51</v>
      </c>
      <c r="G194" s="6" t="s">
        <v>88</v>
      </c>
      <c r="H194" s="6" t="s">
        <v>913</v>
      </c>
      <c r="I194" s="6" t="s">
        <v>88</v>
      </c>
      <c r="J194" s="6" t="s">
        <v>914</v>
      </c>
      <c r="K194" s="7" t="s">
        <v>85</v>
      </c>
      <c r="L194" s="6" t="s">
        <v>1</v>
      </c>
      <c r="M194" s="7" t="s">
        <v>27</v>
      </c>
      <c r="N194" s="6" t="s">
        <v>1</v>
      </c>
      <c r="O194" s="13" t="s">
        <v>1</v>
      </c>
      <c r="P194" s="6" t="s">
        <v>1</v>
      </c>
    </row>
    <row r="195" spans="1:16" x14ac:dyDescent="0.25">
      <c r="A195" s="7" t="s">
        <v>915</v>
      </c>
      <c r="B195" s="6" t="s">
        <v>38</v>
      </c>
      <c r="C195" s="6" t="s">
        <v>901</v>
      </c>
      <c r="D195" s="6" t="s">
        <v>916</v>
      </c>
      <c r="E195" s="7" t="s">
        <v>56</v>
      </c>
      <c r="F195" s="7" t="s">
        <v>51</v>
      </c>
      <c r="G195" s="6" t="s">
        <v>88</v>
      </c>
      <c r="H195" s="6" t="s">
        <v>917</v>
      </c>
      <c r="I195" s="6" t="s">
        <v>88</v>
      </c>
      <c r="J195" s="6" t="s">
        <v>918</v>
      </c>
      <c r="K195" s="7" t="s">
        <v>85</v>
      </c>
      <c r="L195" s="6" t="s">
        <v>1</v>
      </c>
      <c r="M195" s="7" t="s">
        <v>27</v>
      </c>
      <c r="N195" s="6" t="s">
        <v>1</v>
      </c>
      <c r="O195" s="13" t="s">
        <v>1</v>
      </c>
      <c r="P195" s="6" t="s">
        <v>1</v>
      </c>
    </row>
    <row r="196" spans="1:16" x14ac:dyDescent="0.25">
      <c r="A196" s="7" t="s">
        <v>919</v>
      </c>
      <c r="B196" s="6" t="s">
        <v>38</v>
      </c>
      <c r="C196" s="6" t="s">
        <v>920</v>
      </c>
      <c r="D196" s="6" t="s">
        <v>921</v>
      </c>
      <c r="E196" s="7" t="s">
        <v>56</v>
      </c>
      <c r="F196" s="7" t="s">
        <v>49</v>
      </c>
      <c r="G196" s="6" t="s">
        <v>88</v>
      </c>
      <c r="H196" s="6" t="s">
        <v>903</v>
      </c>
      <c r="I196" s="6" t="s">
        <v>88</v>
      </c>
      <c r="J196" s="6" t="s">
        <v>922</v>
      </c>
      <c r="K196" s="7" t="s">
        <v>85</v>
      </c>
      <c r="L196" s="6" t="s">
        <v>1</v>
      </c>
      <c r="M196" s="7" t="s">
        <v>27</v>
      </c>
      <c r="N196" s="6" t="s">
        <v>1</v>
      </c>
      <c r="O196" s="13" t="s">
        <v>1</v>
      </c>
      <c r="P196" s="6" t="s">
        <v>1</v>
      </c>
    </row>
    <row r="197" spans="1:16" x14ac:dyDescent="0.25">
      <c r="A197" s="7" t="s">
        <v>923</v>
      </c>
      <c r="B197" s="6" t="s">
        <v>38</v>
      </c>
      <c r="C197" s="6" t="s">
        <v>920</v>
      </c>
      <c r="D197" s="6" t="s">
        <v>924</v>
      </c>
      <c r="E197" s="7" t="s">
        <v>61</v>
      </c>
      <c r="F197" s="7" t="s">
        <v>48</v>
      </c>
      <c r="G197" s="6" t="s">
        <v>88</v>
      </c>
      <c r="H197" s="6" t="s">
        <v>908</v>
      </c>
      <c r="I197" s="6" t="s">
        <v>88</v>
      </c>
      <c r="J197" s="6" t="s">
        <v>925</v>
      </c>
      <c r="K197" s="7" t="s">
        <v>85</v>
      </c>
      <c r="L197" s="6" t="s">
        <v>1</v>
      </c>
      <c r="M197" s="7" t="s">
        <v>27</v>
      </c>
      <c r="N197" s="6" t="s">
        <v>1</v>
      </c>
      <c r="O197" s="13" t="s">
        <v>1</v>
      </c>
      <c r="P197" s="6" t="s">
        <v>1</v>
      </c>
    </row>
    <row r="198" spans="1:16" x14ac:dyDescent="0.25">
      <c r="A198" s="7" t="s">
        <v>926</v>
      </c>
      <c r="B198" s="6" t="s">
        <v>38</v>
      </c>
      <c r="C198" s="6" t="s">
        <v>920</v>
      </c>
      <c r="D198" s="6" t="s">
        <v>927</v>
      </c>
      <c r="E198" s="7" t="s">
        <v>60</v>
      </c>
      <c r="F198" s="7" t="s">
        <v>50</v>
      </c>
      <c r="G198" s="6" t="s">
        <v>928</v>
      </c>
      <c r="H198" s="6" t="s">
        <v>929</v>
      </c>
      <c r="I198" s="6" t="s">
        <v>88</v>
      </c>
      <c r="J198" s="6" t="s">
        <v>930</v>
      </c>
      <c r="K198" s="7" t="s">
        <v>85</v>
      </c>
      <c r="L198" s="6" t="s">
        <v>1</v>
      </c>
      <c r="M198" s="7" t="s">
        <v>27</v>
      </c>
      <c r="N198" s="6" t="s">
        <v>1</v>
      </c>
      <c r="O198" s="13" t="s">
        <v>1</v>
      </c>
      <c r="P198" s="6" t="s">
        <v>1</v>
      </c>
    </row>
    <row r="199" spans="1:16" x14ac:dyDescent="0.25">
      <c r="A199" s="7" t="s">
        <v>931</v>
      </c>
      <c r="B199" s="6" t="s">
        <v>38</v>
      </c>
      <c r="C199" s="6" t="s">
        <v>920</v>
      </c>
      <c r="D199" s="6" t="s">
        <v>932</v>
      </c>
      <c r="E199" s="7" t="s">
        <v>56</v>
      </c>
      <c r="F199" s="7" t="s">
        <v>48</v>
      </c>
      <c r="G199" s="6" t="s">
        <v>88</v>
      </c>
      <c r="H199" s="6" t="s">
        <v>933</v>
      </c>
      <c r="I199" s="6" t="s">
        <v>88</v>
      </c>
      <c r="J199" s="6" t="s">
        <v>934</v>
      </c>
      <c r="K199" s="7" t="s">
        <v>85</v>
      </c>
      <c r="L199" s="6" t="s">
        <v>1</v>
      </c>
      <c r="M199" s="7" t="s">
        <v>27</v>
      </c>
      <c r="N199" s="6" t="s">
        <v>1</v>
      </c>
      <c r="O199" s="13" t="s">
        <v>1</v>
      </c>
      <c r="P199" s="6" t="s">
        <v>1</v>
      </c>
    </row>
    <row r="200" spans="1:16" x14ac:dyDescent="0.25">
      <c r="A200" s="7" t="s">
        <v>935</v>
      </c>
      <c r="B200" s="6" t="s">
        <v>38</v>
      </c>
      <c r="C200" s="6" t="s">
        <v>920</v>
      </c>
      <c r="D200" s="6" t="s">
        <v>936</v>
      </c>
      <c r="E200" s="7" t="s">
        <v>56</v>
      </c>
      <c r="F200" s="7" t="s">
        <v>49</v>
      </c>
      <c r="G200" s="6" t="s">
        <v>937</v>
      </c>
      <c r="H200" s="6" t="s">
        <v>938</v>
      </c>
      <c r="I200" s="6" t="s">
        <v>88</v>
      </c>
      <c r="J200" s="6" t="s">
        <v>939</v>
      </c>
      <c r="K200" s="7" t="s">
        <v>85</v>
      </c>
      <c r="L200" s="6" t="s">
        <v>1</v>
      </c>
      <c r="M200" s="7" t="s">
        <v>27</v>
      </c>
      <c r="N200" s="6" t="s">
        <v>1</v>
      </c>
      <c r="O200" s="13" t="s">
        <v>1</v>
      </c>
      <c r="P200" s="6" t="s">
        <v>1</v>
      </c>
    </row>
    <row r="201" spans="1:16" x14ac:dyDescent="0.25">
      <c r="A201" s="7" t="s">
        <v>940</v>
      </c>
      <c r="B201" s="6" t="s">
        <v>38</v>
      </c>
      <c r="C201" s="6" t="s">
        <v>920</v>
      </c>
      <c r="D201" s="6" t="s">
        <v>941</v>
      </c>
      <c r="E201" s="7" t="s">
        <v>56</v>
      </c>
      <c r="F201" s="7" t="s">
        <v>50</v>
      </c>
      <c r="G201" s="6" t="s">
        <v>88</v>
      </c>
      <c r="H201" s="6" t="s">
        <v>942</v>
      </c>
      <c r="I201" s="6" t="s">
        <v>88</v>
      </c>
      <c r="J201" s="6" t="s">
        <v>943</v>
      </c>
      <c r="K201" s="7" t="s">
        <v>85</v>
      </c>
      <c r="L201" s="6" t="s">
        <v>1</v>
      </c>
      <c r="M201" s="7" t="s">
        <v>27</v>
      </c>
      <c r="N201" s="6" t="s">
        <v>1</v>
      </c>
      <c r="O201" s="13" t="s">
        <v>1</v>
      </c>
      <c r="P201" s="6" t="s">
        <v>1</v>
      </c>
    </row>
    <row r="202" spans="1:16" x14ac:dyDescent="0.25">
      <c r="A202" s="7" t="s">
        <v>944</v>
      </c>
      <c r="B202" s="6" t="s">
        <v>38</v>
      </c>
      <c r="C202" s="6" t="s">
        <v>945</v>
      </c>
      <c r="D202" s="6" t="s">
        <v>946</v>
      </c>
      <c r="E202" s="7" t="s">
        <v>56</v>
      </c>
      <c r="F202" s="7" t="s">
        <v>48</v>
      </c>
      <c r="G202" s="6" t="s">
        <v>947</v>
      </c>
      <c r="H202" s="6" t="s">
        <v>948</v>
      </c>
      <c r="I202" s="6" t="s">
        <v>88</v>
      </c>
      <c r="J202" s="6" t="s">
        <v>949</v>
      </c>
      <c r="K202" s="7" t="s">
        <v>85</v>
      </c>
      <c r="L202" s="6" t="s">
        <v>1</v>
      </c>
      <c r="M202" s="7" t="s">
        <v>27</v>
      </c>
      <c r="N202" s="6" t="s">
        <v>1</v>
      </c>
      <c r="O202" s="13" t="s">
        <v>1</v>
      </c>
      <c r="P202" s="6" t="s">
        <v>1</v>
      </c>
    </row>
    <row r="203" spans="1:16" x14ac:dyDescent="0.25">
      <c r="A203" s="7" t="s">
        <v>950</v>
      </c>
      <c r="B203" s="6" t="s">
        <v>38</v>
      </c>
      <c r="C203" s="6" t="s">
        <v>945</v>
      </c>
      <c r="D203" s="6" t="s">
        <v>951</v>
      </c>
      <c r="E203" s="7" t="s">
        <v>56</v>
      </c>
      <c r="F203" s="7" t="s">
        <v>49</v>
      </c>
      <c r="G203" s="6" t="s">
        <v>88</v>
      </c>
      <c r="H203" s="6" t="s">
        <v>952</v>
      </c>
      <c r="I203" s="6" t="s">
        <v>88</v>
      </c>
      <c r="J203" s="6" t="s">
        <v>953</v>
      </c>
      <c r="K203" s="7" t="s">
        <v>85</v>
      </c>
      <c r="L203" s="6" t="s">
        <v>1</v>
      </c>
      <c r="M203" s="7" t="s">
        <v>27</v>
      </c>
      <c r="N203" s="6" t="s">
        <v>1</v>
      </c>
      <c r="O203" s="13" t="s">
        <v>1</v>
      </c>
      <c r="P203" s="6" t="s">
        <v>1</v>
      </c>
    </row>
    <row r="204" spans="1:16" x14ac:dyDescent="0.25">
      <c r="A204" s="7" t="s">
        <v>954</v>
      </c>
      <c r="B204" s="6" t="s">
        <v>38</v>
      </c>
      <c r="C204" s="6" t="s">
        <v>945</v>
      </c>
      <c r="D204" s="6" t="s">
        <v>955</v>
      </c>
      <c r="E204" s="7" t="s">
        <v>56</v>
      </c>
      <c r="F204" s="7" t="s">
        <v>48</v>
      </c>
      <c r="G204" s="6" t="s">
        <v>711</v>
      </c>
      <c r="H204" s="6" t="s">
        <v>956</v>
      </c>
      <c r="I204" s="6" t="s">
        <v>957</v>
      </c>
      <c r="J204" s="6" t="s">
        <v>958</v>
      </c>
      <c r="K204" s="7" t="s">
        <v>85</v>
      </c>
      <c r="L204" s="6" t="s">
        <v>1</v>
      </c>
      <c r="M204" s="7" t="s">
        <v>27</v>
      </c>
      <c r="N204" s="6" t="s">
        <v>1</v>
      </c>
      <c r="O204" s="13" t="s">
        <v>1</v>
      </c>
      <c r="P204" s="6" t="s">
        <v>1</v>
      </c>
    </row>
    <row r="205" spans="1:16" x14ac:dyDescent="0.25">
      <c r="A205" s="7" t="s">
        <v>959</v>
      </c>
      <c r="B205" s="6" t="s">
        <v>38</v>
      </c>
      <c r="C205" s="6" t="s">
        <v>945</v>
      </c>
      <c r="D205" s="6" t="s">
        <v>960</v>
      </c>
      <c r="E205" s="7" t="s">
        <v>56</v>
      </c>
      <c r="F205" s="7" t="s">
        <v>48</v>
      </c>
      <c r="G205" s="6" t="s">
        <v>961</v>
      </c>
      <c r="H205" s="6" t="s">
        <v>962</v>
      </c>
      <c r="I205" s="6" t="s">
        <v>88</v>
      </c>
      <c r="J205" s="6" t="s">
        <v>963</v>
      </c>
      <c r="K205" s="7" t="s">
        <v>85</v>
      </c>
      <c r="L205" s="6" t="s">
        <v>1</v>
      </c>
      <c r="M205" s="7" t="s">
        <v>27</v>
      </c>
      <c r="N205" s="6" t="s">
        <v>1</v>
      </c>
      <c r="O205" s="13" t="s">
        <v>1</v>
      </c>
      <c r="P205" s="6" t="s">
        <v>1</v>
      </c>
    </row>
    <row r="206" spans="1:16" x14ac:dyDescent="0.25">
      <c r="A206" s="7" t="s">
        <v>964</v>
      </c>
      <c r="B206" s="6" t="s">
        <v>38</v>
      </c>
      <c r="C206" s="6" t="s">
        <v>945</v>
      </c>
      <c r="D206" s="6" t="s">
        <v>965</v>
      </c>
      <c r="E206" s="7" t="s">
        <v>58</v>
      </c>
      <c r="F206" s="7" t="s">
        <v>48</v>
      </c>
      <c r="G206" s="6" t="s">
        <v>88</v>
      </c>
      <c r="H206" s="6" t="s">
        <v>966</v>
      </c>
      <c r="I206" s="6" t="s">
        <v>88</v>
      </c>
      <c r="J206" s="6" t="s">
        <v>967</v>
      </c>
      <c r="K206" s="7" t="s">
        <v>85</v>
      </c>
      <c r="L206" s="6" t="s">
        <v>1</v>
      </c>
      <c r="M206" s="7" t="s">
        <v>27</v>
      </c>
      <c r="N206" s="6" t="s">
        <v>1</v>
      </c>
      <c r="O206" s="13" t="s">
        <v>1</v>
      </c>
      <c r="P206" s="6" t="s">
        <v>1</v>
      </c>
    </row>
    <row r="207" spans="1:16" x14ac:dyDescent="0.25">
      <c r="A207" s="7" t="s">
        <v>968</v>
      </c>
      <c r="B207" s="6" t="s">
        <v>38</v>
      </c>
      <c r="C207" s="6" t="s">
        <v>945</v>
      </c>
      <c r="D207" s="6" t="s">
        <v>969</v>
      </c>
      <c r="E207" s="7" t="s">
        <v>58</v>
      </c>
      <c r="F207" s="7" t="s">
        <v>49</v>
      </c>
      <c r="G207" s="6" t="s">
        <v>88</v>
      </c>
      <c r="H207" s="6" t="s">
        <v>970</v>
      </c>
      <c r="I207" s="6" t="s">
        <v>88</v>
      </c>
      <c r="J207" s="6" t="s">
        <v>971</v>
      </c>
      <c r="K207" s="7" t="s">
        <v>85</v>
      </c>
      <c r="L207" s="6" t="s">
        <v>1</v>
      </c>
      <c r="M207" s="7" t="s">
        <v>27</v>
      </c>
      <c r="N207" s="6" t="s">
        <v>1</v>
      </c>
      <c r="O207" s="13" t="s">
        <v>1</v>
      </c>
      <c r="P207" s="6" t="s">
        <v>1</v>
      </c>
    </row>
    <row r="208" spans="1:16" x14ac:dyDescent="0.25">
      <c r="A208" s="7" t="s">
        <v>972</v>
      </c>
      <c r="B208" s="6" t="s">
        <v>38</v>
      </c>
      <c r="C208" s="6" t="s">
        <v>973</v>
      </c>
      <c r="D208" s="6" t="s">
        <v>974</v>
      </c>
      <c r="E208" s="7" t="s">
        <v>61</v>
      </c>
      <c r="F208" s="7" t="s">
        <v>49</v>
      </c>
      <c r="G208" s="6" t="s">
        <v>88</v>
      </c>
      <c r="H208" s="6" t="s">
        <v>975</v>
      </c>
      <c r="I208" s="6" t="s">
        <v>88</v>
      </c>
      <c r="J208" s="6" t="s">
        <v>976</v>
      </c>
      <c r="K208" s="7" t="s">
        <v>85</v>
      </c>
      <c r="L208" s="6" t="s">
        <v>1</v>
      </c>
      <c r="M208" s="7" t="s">
        <v>27</v>
      </c>
      <c r="N208" s="6" t="s">
        <v>1</v>
      </c>
      <c r="O208" s="13" t="s">
        <v>1</v>
      </c>
      <c r="P208" s="6" t="s">
        <v>1</v>
      </c>
    </row>
    <row r="209" spans="1:16" x14ac:dyDescent="0.25">
      <c r="A209" s="7" t="s">
        <v>977</v>
      </c>
      <c r="B209" s="6" t="s">
        <v>38</v>
      </c>
      <c r="C209" s="6" t="s">
        <v>973</v>
      </c>
      <c r="D209" s="6" t="s">
        <v>978</v>
      </c>
      <c r="E209" s="7" t="s">
        <v>61</v>
      </c>
      <c r="F209" s="7" t="s">
        <v>50</v>
      </c>
      <c r="G209" s="6" t="s">
        <v>88</v>
      </c>
      <c r="H209" s="6" t="s">
        <v>979</v>
      </c>
      <c r="I209" s="6" t="s">
        <v>88</v>
      </c>
      <c r="J209" s="6" t="s">
        <v>980</v>
      </c>
      <c r="K209" s="7" t="s">
        <v>85</v>
      </c>
      <c r="L209" s="6" t="s">
        <v>1</v>
      </c>
      <c r="M209" s="7" t="s">
        <v>27</v>
      </c>
      <c r="N209" s="6" t="s">
        <v>1</v>
      </c>
      <c r="O209" s="13" t="s">
        <v>1</v>
      </c>
      <c r="P209" s="6" t="s">
        <v>1</v>
      </c>
    </row>
    <row r="210" spans="1:16" x14ac:dyDescent="0.25">
      <c r="A210" s="7" t="s">
        <v>981</v>
      </c>
      <c r="B210" s="6" t="s">
        <v>38</v>
      </c>
      <c r="C210" s="6" t="s">
        <v>973</v>
      </c>
      <c r="D210" s="6" t="s">
        <v>982</v>
      </c>
      <c r="E210" s="7" t="s">
        <v>56</v>
      </c>
      <c r="F210" s="7" t="s">
        <v>50</v>
      </c>
      <c r="G210" s="6" t="s">
        <v>88</v>
      </c>
      <c r="H210" s="6" t="s">
        <v>983</v>
      </c>
      <c r="I210" s="6" t="s">
        <v>984</v>
      </c>
      <c r="J210" s="6" t="s">
        <v>985</v>
      </c>
      <c r="K210" s="7" t="s">
        <v>85</v>
      </c>
      <c r="L210" s="6" t="s">
        <v>1</v>
      </c>
      <c r="M210" s="7" t="s">
        <v>27</v>
      </c>
      <c r="N210" s="6" t="s">
        <v>1</v>
      </c>
      <c r="O210" s="13" t="s">
        <v>1</v>
      </c>
      <c r="P210" s="6" t="s">
        <v>1</v>
      </c>
    </row>
    <row r="211" spans="1:16" x14ac:dyDescent="0.25">
      <c r="A211" s="7" t="s">
        <v>986</v>
      </c>
      <c r="B211" s="6" t="s">
        <v>38</v>
      </c>
      <c r="C211" s="6" t="s">
        <v>973</v>
      </c>
      <c r="D211" s="6" t="s">
        <v>987</v>
      </c>
      <c r="E211" s="7" t="s">
        <v>61</v>
      </c>
      <c r="F211" s="7" t="s">
        <v>51</v>
      </c>
      <c r="G211" s="6" t="s">
        <v>88</v>
      </c>
      <c r="H211" s="6" t="s">
        <v>308</v>
      </c>
      <c r="I211" s="6" t="s">
        <v>88</v>
      </c>
      <c r="J211" s="6" t="s">
        <v>988</v>
      </c>
      <c r="K211" s="7" t="s">
        <v>85</v>
      </c>
      <c r="L211" s="6" t="s">
        <v>1</v>
      </c>
      <c r="M211" s="7" t="s">
        <v>27</v>
      </c>
      <c r="N211" s="6" t="s">
        <v>1</v>
      </c>
      <c r="O211" s="13" t="s">
        <v>1</v>
      </c>
      <c r="P211" s="6" t="s">
        <v>1</v>
      </c>
    </row>
    <row r="212" spans="1:16" x14ac:dyDescent="0.25">
      <c r="A212" s="7" t="s">
        <v>989</v>
      </c>
      <c r="B212" s="6" t="s">
        <v>38</v>
      </c>
      <c r="C212" s="6" t="s">
        <v>990</v>
      </c>
      <c r="D212" s="6" t="s">
        <v>991</v>
      </c>
      <c r="E212" s="7" t="s">
        <v>56</v>
      </c>
      <c r="F212" s="7" t="s">
        <v>48</v>
      </c>
      <c r="G212" s="6" t="s">
        <v>768</v>
      </c>
      <c r="H212" s="6" t="s">
        <v>992</v>
      </c>
      <c r="I212" s="6" t="s">
        <v>761</v>
      </c>
      <c r="J212" s="6" t="s">
        <v>993</v>
      </c>
      <c r="K212" s="7" t="s">
        <v>85</v>
      </c>
      <c r="L212" s="6" t="s">
        <v>1</v>
      </c>
      <c r="M212" s="7" t="s">
        <v>27</v>
      </c>
      <c r="N212" s="6" t="s">
        <v>1</v>
      </c>
      <c r="O212" s="13" t="s">
        <v>1</v>
      </c>
      <c r="P212" s="6" t="s">
        <v>1</v>
      </c>
    </row>
    <row r="213" spans="1:16" x14ac:dyDescent="0.25">
      <c r="A213" s="7" t="s">
        <v>994</v>
      </c>
      <c r="B213" s="6" t="s">
        <v>38</v>
      </c>
      <c r="C213" s="6" t="s">
        <v>990</v>
      </c>
      <c r="D213" s="6" t="s">
        <v>995</v>
      </c>
      <c r="E213" s="7" t="s">
        <v>56</v>
      </c>
      <c r="F213" s="7" t="s">
        <v>48</v>
      </c>
      <c r="G213" s="6" t="s">
        <v>88</v>
      </c>
      <c r="H213" s="6" t="s">
        <v>996</v>
      </c>
      <c r="I213" s="6" t="s">
        <v>756</v>
      </c>
      <c r="J213" s="6" t="s">
        <v>997</v>
      </c>
      <c r="K213" s="7" t="s">
        <v>85</v>
      </c>
      <c r="L213" s="6" t="s">
        <v>1</v>
      </c>
      <c r="M213" s="7" t="s">
        <v>27</v>
      </c>
      <c r="N213" s="6" t="s">
        <v>1</v>
      </c>
      <c r="O213" s="13" t="s">
        <v>1</v>
      </c>
      <c r="P213" s="6" t="s">
        <v>1</v>
      </c>
    </row>
    <row r="214" spans="1:16" x14ac:dyDescent="0.25">
      <c r="A214" s="7" t="s">
        <v>998</v>
      </c>
      <c r="B214" s="6" t="s">
        <v>38</v>
      </c>
      <c r="C214" s="6" t="s">
        <v>990</v>
      </c>
      <c r="D214" s="6" t="s">
        <v>999</v>
      </c>
      <c r="E214" s="7" t="s">
        <v>56</v>
      </c>
      <c r="F214" s="7" t="s">
        <v>48</v>
      </c>
      <c r="G214" s="6" t="s">
        <v>1000</v>
      </c>
      <c r="H214" s="6" t="s">
        <v>1001</v>
      </c>
      <c r="I214" s="6" t="s">
        <v>1002</v>
      </c>
      <c r="J214" s="6" t="s">
        <v>1003</v>
      </c>
      <c r="K214" s="7" t="s">
        <v>85</v>
      </c>
      <c r="L214" s="6" t="s">
        <v>1</v>
      </c>
      <c r="M214" s="7" t="s">
        <v>27</v>
      </c>
      <c r="N214" s="6" t="s">
        <v>1</v>
      </c>
      <c r="O214" s="13" t="s">
        <v>1</v>
      </c>
      <c r="P214" s="6" t="s">
        <v>1</v>
      </c>
    </row>
    <row r="215" spans="1:16" x14ac:dyDescent="0.25">
      <c r="A215" s="7" t="s">
        <v>1004</v>
      </c>
      <c r="B215" s="6" t="s">
        <v>38</v>
      </c>
      <c r="C215" s="6" t="s">
        <v>990</v>
      </c>
      <c r="D215" s="6" t="s">
        <v>1005</v>
      </c>
      <c r="E215" s="7" t="s">
        <v>56</v>
      </c>
      <c r="F215" s="7" t="s">
        <v>49</v>
      </c>
      <c r="G215" s="6" t="s">
        <v>88</v>
      </c>
      <c r="H215" s="6" t="s">
        <v>1006</v>
      </c>
      <c r="I215" s="6" t="s">
        <v>1007</v>
      </c>
      <c r="J215" s="6" t="s">
        <v>1008</v>
      </c>
      <c r="K215" s="7" t="s">
        <v>85</v>
      </c>
      <c r="L215" s="6" t="s">
        <v>1</v>
      </c>
      <c r="M215" s="7" t="s">
        <v>27</v>
      </c>
      <c r="N215" s="6" t="s">
        <v>1</v>
      </c>
      <c r="O215" s="13" t="s">
        <v>1</v>
      </c>
      <c r="P215" s="6" t="s">
        <v>1</v>
      </c>
    </row>
    <row r="216" spans="1:16" x14ac:dyDescent="0.25">
      <c r="A216" s="7" t="s">
        <v>1009</v>
      </c>
      <c r="B216" s="6" t="s">
        <v>38</v>
      </c>
      <c r="C216" s="6" t="s">
        <v>990</v>
      </c>
      <c r="D216" s="6" t="s">
        <v>1010</v>
      </c>
      <c r="E216" s="7" t="s">
        <v>53</v>
      </c>
      <c r="F216" s="7" t="s">
        <v>49</v>
      </c>
      <c r="G216" s="6" t="s">
        <v>88</v>
      </c>
      <c r="H216" s="6" t="s">
        <v>1011</v>
      </c>
      <c r="I216" s="6" t="s">
        <v>1012</v>
      </c>
      <c r="J216" s="6" t="s">
        <v>1013</v>
      </c>
      <c r="K216" s="7" t="s">
        <v>85</v>
      </c>
      <c r="L216" s="6" t="s">
        <v>1</v>
      </c>
      <c r="M216" s="7" t="s">
        <v>27</v>
      </c>
      <c r="N216" s="6" t="s">
        <v>1</v>
      </c>
      <c r="O216" s="13" t="s">
        <v>1</v>
      </c>
      <c r="P216" s="6" t="s">
        <v>1</v>
      </c>
    </row>
    <row r="217" spans="1:16" x14ac:dyDescent="0.25">
      <c r="A217" s="7" t="s">
        <v>1014</v>
      </c>
      <c r="B217" s="6" t="s">
        <v>38</v>
      </c>
      <c r="C217" s="6" t="s">
        <v>990</v>
      </c>
      <c r="D217" s="6" t="s">
        <v>1015</v>
      </c>
      <c r="E217" s="7" t="s">
        <v>58</v>
      </c>
      <c r="F217" s="7" t="s">
        <v>48</v>
      </c>
      <c r="G217" s="6" t="s">
        <v>88</v>
      </c>
      <c r="H217" s="6" t="s">
        <v>1016</v>
      </c>
      <c r="I217" s="6" t="s">
        <v>88</v>
      </c>
      <c r="J217" s="6" t="s">
        <v>1017</v>
      </c>
      <c r="K217" s="7" t="s">
        <v>102</v>
      </c>
      <c r="L217" s="6" t="s">
        <v>1</v>
      </c>
      <c r="M217" s="7" t="s">
        <v>27</v>
      </c>
      <c r="N217" s="6" t="s">
        <v>1</v>
      </c>
      <c r="O217" s="13" t="s">
        <v>1</v>
      </c>
      <c r="P217" s="6" t="s">
        <v>1</v>
      </c>
    </row>
    <row r="218" spans="1:16" x14ac:dyDescent="0.25">
      <c r="A218" s="7" t="s">
        <v>1018</v>
      </c>
      <c r="B218" s="6" t="s">
        <v>38</v>
      </c>
      <c r="C218" s="6" t="s">
        <v>990</v>
      </c>
      <c r="D218" s="6" t="s">
        <v>1019</v>
      </c>
      <c r="E218" s="7" t="s">
        <v>56</v>
      </c>
      <c r="F218" s="7" t="s">
        <v>51</v>
      </c>
      <c r="G218" s="6" t="s">
        <v>88</v>
      </c>
      <c r="H218" s="6" t="s">
        <v>1020</v>
      </c>
      <c r="I218" s="6" t="s">
        <v>88</v>
      </c>
      <c r="J218" s="6" t="s">
        <v>1021</v>
      </c>
      <c r="K218" s="7" t="s">
        <v>85</v>
      </c>
      <c r="L218" s="6" t="s">
        <v>1</v>
      </c>
      <c r="M218" s="7" t="s">
        <v>27</v>
      </c>
      <c r="N218" s="6" t="s">
        <v>1</v>
      </c>
      <c r="O218" s="13" t="s">
        <v>1</v>
      </c>
      <c r="P218" s="6" t="s">
        <v>1</v>
      </c>
    </row>
    <row r="219" spans="1:16" x14ac:dyDescent="0.25">
      <c r="A219" s="7" t="s">
        <v>1022</v>
      </c>
      <c r="B219" s="6" t="s">
        <v>38</v>
      </c>
      <c r="C219" s="6" t="s">
        <v>1023</v>
      </c>
      <c r="D219" s="6" t="s">
        <v>1024</v>
      </c>
      <c r="E219" s="7" t="s">
        <v>56</v>
      </c>
      <c r="F219" s="7" t="s">
        <v>49</v>
      </c>
      <c r="G219" s="6" t="s">
        <v>1025</v>
      </c>
      <c r="H219" s="6" t="s">
        <v>1026</v>
      </c>
      <c r="I219" s="6" t="s">
        <v>88</v>
      </c>
      <c r="J219" s="6" t="s">
        <v>1027</v>
      </c>
      <c r="K219" s="7" t="s">
        <v>85</v>
      </c>
      <c r="L219" s="6" t="s">
        <v>1</v>
      </c>
      <c r="M219" s="7" t="s">
        <v>27</v>
      </c>
      <c r="N219" s="6" t="s">
        <v>1</v>
      </c>
      <c r="O219" s="13" t="s">
        <v>1</v>
      </c>
      <c r="P219" s="6" t="s">
        <v>1</v>
      </c>
    </row>
    <row r="220" spans="1:16" x14ac:dyDescent="0.25">
      <c r="A220" s="7" t="s">
        <v>1028</v>
      </c>
      <c r="B220" s="6" t="s">
        <v>38</v>
      </c>
      <c r="C220" s="6" t="s">
        <v>1029</v>
      </c>
      <c r="D220" s="6" t="s">
        <v>1030</v>
      </c>
      <c r="E220" s="7" t="s">
        <v>56</v>
      </c>
      <c r="F220" s="7" t="s">
        <v>50</v>
      </c>
      <c r="G220" s="6" t="s">
        <v>253</v>
      </c>
      <c r="H220" s="6" t="s">
        <v>903</v>
      </c>
      <c r="I220" s="6" t="s">
        <v>88</v>
      </c>
      <c r="J220" s="6" t="s">
        <v>1031</v>
      </c>
      <c r="K220" s="7" t="s">
        <v>85</v>
      </c>
      <c r="L220" s="6" t="s">
        <v>1</v>
      </c>
      <c r="M220" s="7" t="s">
        <v>27</v>
      </c>
      <c r="N220" s="6" t="s">
        <v>1</v>
      </c>
      <c r="O220" s="13" t="s">
        <v>1</v>
      </c>
      <c r="P220" s="6" t="s">
        <v>1</v>
      </c>
    </row>
    <row r="221" spans="1:16" x14ac:dyDescent="0.25">
      <c r="A221" s="7" t="s">
        <v>1032</v>
      </c>
      <c r="B221" s="6" t="s">
        <v>38</v>
      </c>
      <c r="C221" s="6" t="s">
        <v>63</v>
      </c>
      <c r="D221" s="6" t="s">
        <v>1033</v>
      </c>
      <c r="E221" s="7" t="s">
        <v>63</v>
      </c>
      <c r="F221" s="7" t="s">
        <v>48</v>
      </c>
      <c r="G221" s="6" t="s">
        <v>88</v>
      </c>
      <c r="H221" s="6" t="s">
        <v>1034</v>
      </c>
      <c r="I221" s="6" t="s">
        <v>88</v>
      </c>
      <c r="J221" s="6" t="s">
        <v>1035</v>
      </c>
      <c r="K221" s="7" t="s">
        <v>85</v>
      </c>
      <c r="L221" s="6" t="s">
        <v>1</v>
      </c>
      <c r="M221" s="7" t="s">
        <v>27</v>
      </c>
      <c r="N221" s="6" t="s">
        <v>1</v>
      </c>
      <c r="O221" s="13" t="s">
        <v>1</v>
      </c>
      <c r="P221" s="6" t="s">
        <v>1</v>
      </c>
    </row>
    <row r="222" spans="1:16" x14ac:dyDescent="0.25">
      <c r="A222" s="7" t="s">
        <v>1036</v>
      </c>
      <c r="B222" s="6" t="s">
        <v>38</v>
      </c>
      <c r="C222" s="6" t="s">
        <v>63</v>
      </c>
      <c r="D222" s="6" t="s">
        <v>1037</v>
      </c>
      <c r="E222" s="7" t="s">
        <v>63</v>
      </c>
      <c r="F222" s="7" t="s">
        <v>48</v>
      </c>
      <c r="G222" s="6" t="s">
        <v>88</v>
      </c>
      <c r="H222" s="6" t="s">
        <v>1038</v>
      </c>
      <c r="I222" s="6" t="s">
        <v>88</v>
      </c>
      <c r="J222" s="6" t="s">
        <v>971</v>
      </c>
      <c r="K222" s="7" t="s">
        <v>85</v>
      </c>
      <c r="L222" s="6" t="s">
        <v>1</v>
      </c>
      <c r="M222" s="7" t="s">
        <v>27</v>
      </c>
      <c r="N222" s="6" t="s">
        <v>1</v>
      </c>
      <c r="O222" s="13" t="s">
        <v>1</v>
      </c>
      <c r="P222" s="6" t="s">
        <v>1</v>
      </c>
    </row>
    <row r="223" spans="1:16" x14ac:dyDescent="0.25">
      <c r="A223" s="7" t="s">
        <v>1039</v>
      </c>
      <c r="B223" s="6" t="s">
        <v>38</v>
      </c>
      <c r="C223" s="6" t="s">
        <v>63</v>
      </c>
      <c r="D223" s="6" t="s">
        <v>1040</v>
      </c>
      <c r="E223" s="7" t="s">
        <v>63</v>
      </c>
      <c r="F223" s="7" t="s">
        <v>48</v>
      </c>
      <c r="G223" s="6" t="s">
        <v>88</v>
      </c>
      <c r="H223" s="6" t="s">
        <v>1041</v>
      </c>
      <c r="I223" s="6" t="s">
        <v>88</v>
      </c>
      <c r="J223" s="6" t="s">
        <v>1042</v>
      </c>
      <c r="K223" s="7" t="s">
        <v>85</v>
      </c>
      <c r="L223" s="6" t="s">
        <v>1</v>
      </c>
      <c r="M223" s="7" t="s">
        <v>27</v>
      </c>
      <c r="N223" s="6" t="s">
        <v>1</v>
      </c>
      <c r="O223" s="13" t="s">
        <v>1</v>
      </c>
      <c r="P223" s="6" t="s">
        <v>1</v>
      </c>
    </row>
    <row r="224" spans="1:16" x14ac:dyDescent="0.25">
      <c r="A224" s="7" t="s">
        <v>1043</v>
      </c>
      <c r="B224" s="6" t="s">
        <v>38</v>
      </c>
      <c r="C224" s="6" t="s">
        <v>63</v>
      </c>
      <c r="D224" s="6" t="s">
        <v>1044</v>
      </c>
      <c r="E224" s="7" t="s">
        <v>58</v>
      </c>
      <c r="F224" s="7" t="s">
        <v>48</v>
      </c>
      <c r="G224" s="6" t="s">
        <v>88</v>
      </c>
      <c r="H224" s="6" t="s">
        <v>1045</v>
      </c>
      <c r="I224" s="6" t="s">
        <v>88</v>
      </c>
      <c r="J224" s="6" t="s">
        <v>1046</v>
      </c>
      <c r="K224" s="7" t="s">
        <v>85</v>
      </c>
      <c r="L224" s="6" t="s">
        <v>1</v>
      </c>
      <c r="M224" s="7" t="s">
        <v>27</v>
      </c>
      <c r="N224" s="6" t="s">
        <v>1</v>
      </c>
      <c r="O224" s="13" t="s">
        <v>1</v>
      </c>
      <c r="P224" s="6" t="s">
        <v>1</v>
      </c>
    </row>
    <row r="225" spans="1:16" x14ac:dyDescent="0.25">
      <c r="A225" s="7" t="s">
        <v>1047</v>
      </c>
      <c r="B225" s="6" t="s">
        <v>38</v>
      </c>
      <c r="C225" s="6" t="s">
        <v>63</v>
      </c>
      <c r="D225" s="6" t="s">
        <v>1048</v>
      </c>
      <c r="E225" s="7" t="s">
        <v>58</v>
      </c>
      <c r="F225" s="7" t="s">
        <v>48</v>
      </c>
      <c r="G225" s="6" t="s">
        <v>1049</v>
      </c>
      <c r="H225" s="6" t="s">
        <v>1050</v>
      </c>
      <c r="I225" s="6" t="s">
        <v>88</v>
      </c>
      <c r="J225" s="6" t="s">
        <v>1051</v>
      </c>
      <c r="K225" s="7" t="s">
        <v>85</v>
      </c>
      <c r="L225" s="6" t="s">
        <v>1</v>
      </c>
      <c r="M225" s="7" t="s">
        <v>27</v>
      </c>
      <c r="N225" s="6" t="s">
        <v>1</v>
      </c>
      <c r="O225" s="13" t="s">
        <v>1</v>
      </c>
      <c r="P225" s="6" t="s">
        <v>1</v>
      </c>
    </row>
    <row r="226" spans="1:16" x14ac:dyDescent="0.25">
      <c r="A226" s="7" t="s">
        <v>1052</v>
      </c>
      <c r="B226" s="6" t="s">
        <v>38</v>
      </c>
      <c r="C226" s="6" t="s">
        <v>63</v>
      </c>
      <c r="D226" s="6" t="s">
        <v>1053</v>
      </c>
      <c r="E226" s="7" t="s">
        <v>58</v>
      </c>
      <c r="F226" s="7" t="s">
        <v>48</v>
      </c>
      <c r="G226" s="6" t="s">
        <v>1054</v>
      </c>
      <c r="H226" s="6" t="s">
        <v>1055</v>
      </c>
      <c r="I226" s="6" t="s">
        <v>88</v>
      </c>
      <c r="J226" s="6" t="s">
        <v>1056</v>
      </c>
      <c r="K226" s="7" t="s">
        <v>85</v>
      </c>
      <c r="L226" s="6" t="s">
        <v>1</v>
      </c>
      <c r="M226" s="7" t="s">
        <v>27</v>
      </c>
      <c r="N226" s="6" t="s">
        <v>1</v>
      </c>
      <c r="O226" s="13" t="s">
        <v>1</v>
      </c>
      <c r="P226" s="6" t="s">
        <v>1</v>
      </c>
    </row>
    <row r="227" spans="1:16" x14ac:dyDescent="0.25">
      <c r="A227" s="7" t="s">
        <v>1057</v>
      </c>
      <c r="B227" s="6" t="s">
        <v>38</v>
      </c>
      <c r="C227" s="6" t="s">
        <v>63</v>
      </c>
      <c r="D227" s="6" t="s">
        <v>1058</v>
      </c>
      <c r="E227" s="7" t="s">
        <v>58</v>
      </c>
      <c r="F227" s="7" t="s">
        <v>48</v>
      </c>
      <c r="G227" s="6" t="s">
        <v>88</v>
      </c>
      <c r="H227" s="6" t="s">
        <v>1059</v>
      </c>
      <c r="I227" s="6" t="s">
        <v>88</v>
      </c>
      <c r="J227" s="6" t="s">
        <v>1060</v>
      </c>
      <c r="K227" s="7" t="s">
        <v>85</v>
      </c>
      <c r="L227" s="6" t="s">
        <v>1</v>
      </c>
      <c r="M227" s="7" t="s">
        <v>27</v>
      </c>
      <c r="N227" s="6" t="s">
        <v>1</v>
      </c>
      <c r="O227" s="13" t="s">
        <v>1</v>
      </c>
      <c r="P227" s="6" t="s">
        <v>1</v>
      </c>
    </row>
    <row r="228" spans="1:16" x14ac:dyDescent="0.25">
      <c r="A228" s="7" t="s">
        <v>1061</v>
      </c>
      <c r="B228" s="6" t="s">
        <v>38</v>
      </c>
      <c r="C228" s="6" t="s">
        <v>63</v>
      </c>
      <c r="D228" s="6" t="s">
        <v>1062</v>
      </c>
      <c r="E228" s="7" t="s">
        <v>58</v>
      </c>
      <c r="F228" s="7" t="s">
        <v>49</v>
      </c>
      <c r="G228" s="6" t="s">
        <v>88</v>
      </c>
      <c r="H228" s="6" t="s">
        <v>1063</v>
      </c>
      <c r="I228" s="6" t="s">
        <v>88</v>
      </c>
      <c r="J228" s="6" t="s">
        <v>1064</v>
      </c>
      <c r="K228" s="7" t="s">
        <v>85</v>
      </c>
      <c r="L228" s="6" t="s">
        <v>1</v>
      </c>
      <c r="M228" s="7" t="s">
        <v>27</v>
      </c>
      <c r="N228" s="6" t="s">
        <v>1</v>
      </c>
      <c r="O228" s="13" t="s">
        <v>1</v>
      </c>
      <c r="P228" s="6" t="s">
        <v>1</v>
      </c>
    </row>
    <row r="229" spans="1:16" x14ac:dyDescent="0.25">
      <c r="A229" s="7" t="s">
        <v>1065</v>
      </c>
      <c r="B229" s="6" t="s">
        <v>38</v>
      </c>
      <c r="C229" s="6" t="s">
        <v>63</v>
      </c>
      <c r="D229" s="6" t="s">
        <v>1066</v>
      </c>
      <c r="E229" s="7" t="s">
        <v>58</v>
      </c>
      <c r="F229" s="7" t="s">
        <v>49</v>
      </c>
      <c r="G229" s="6" t="s">
        <v>88</v>
      </c>
      <c r="H229" s="6" t="s">
        <v>1067</v>
      </c>
      <c r="I229" s="6" t="s">
        <v>88</v>
      </c>
      <c r="J229" s="6" t="s">
        <v>1068</v>
      </c>
      <c r="K229" s="7" t="s">
        <v>85</v>
      </c>
      <c r="L229" s="6" t="s">
        <v>1</v>
      </c>
      <c r="M229" s="7" t="s">
        <v>27</v>
      </c>
      <c r="N229" s="6" t="s">
        <v>1</v>
      </c>
      <c r="O229" s="13" t="s">
        <v>1</v>
      </c>
      <c r="P229" s="6" t="s">
        <v>1</v>
      </c>
    </row>
    <row r="230" spans="1:16" x14ac:dyDescent="0.25">
      <c r="A230" s="7" t="s">
        <v>1069</v>
      </c>
      <c r="B230" s="6" t="s">
        <v>38</v>
      </c>
      <c r="C230" s="6" t="s">
        <v>63</v>
      </c>
      <c r="D230" s="6" t="s">
        <v>1070</v>
      </c>
      <c r="E230" s="7" t="s">
        <v>43</v>
      </c>
      <c r="F230" s="7" t="s">
        <v>48</v>
      </c>
      <c r="G230" s="6" t="s">
        <v>88</v>
      </c>
      <c r="H230" s="6" t="s">
        <v>1071</v>
      </c>
      <c r="I230" s="6" t="s">
        <v>88</v>
      </c>
      <c r="J230" s="6" t="s">
        <v>1072</v>
      </c>
      <c r="K230" s="7" t="s">
        <v>85</v>
      </c>
      <c r="L230" s="6" t="s">
        <v>1</v>
      </c>
      <c r="M230" s="7" t="s">
        <v>27</v>
      </c>
      <c r="N230" s="6" t="s">
        <v>1</v>
      </c>
      <c r="O230" s="13" t="s">
        <v>1</v>
      </c>
      <c r="P230" s="6" t="s">
        <v>1</v>
      </c>
    </row>
    <row r="231" spans="1:16" x14ac:dyDescent="0.25">
      <c r="A231" s="7" t="s">
        <v>1073</v>
      </c>
      <c r="B231" s="6" t="s">
        <v>38</v>
      </c>
      <c r="C231" s="6" t="s">
        <v>63</v>
      </c>
      <c r="D231" s="6" t="s">
        <v>1074</v>
      </c>
      <c r="E231" s="7" t="s">
        <v>59</v>
      </c>
      <c r="F231" s="7" t="s">
        <v>48</v>
      </c>
      <c r="G231" s="6" t="s">
        <v>1075</v>
      </c>
      <c r="H231" s="6" t="s">
        <v>1076</v>
      </c>
      <c r="I231" s="6" t="s">
        <v>88</v>
      </c>
      <c r="J231" s="6" t="s">
        <v>1077</v>
      </c>
      <c r="K231" s="7" t="s">
        <v>85</v>
      </c>
      <c r="L231" s="6" t="s">
        <v>1</v>
      </c>
      <c r="M231" s="7" t="s">
        <v>27</v>
      </c>
      <c r="N231" s="6" t="s">
        <v>1</v>
      </c>
      <c r="O231" s="13" t="s">
        <v>1</v>
      </c>
      <c r="P231" s="6" t="s">
        <v>1</v>
      </c>
    </row>
    <row r="232" spans="1:16" x14ac:dyDescent="0.25">
      <c r="A232" s="7" t="s">
        <v>1078</v>
      </c>
      <c r="B232" s="6" t="s">
        <v>38</v>
      </c>
      <c r="C232" s="6" t="s">
        <v>273</v>
      </c>
      <c r="D232" s="6" t="s">
        <v>1079</v>
      </c>
      <c r="E232" s="7" t="s">
        <v>58</v>
      </c>
      <c r="F232" s="7" t="s">
        <v>50</v>
      </c>
      <c r="G232" s="6" t="s">
        <v>275</v>
      </c>
      <c r="H232" s="6" t="s">
        <v>1080</v>
      </c>
      <c r="I232" s="6" t="s">
        <v>88</v>
      </c>
      <c r="J232" s="6" t="s">
        <v>1081</v>
      </c>
      <c r="K232" s="7" t="s">
        <v>85</v>
      </c>
      <c r="L232" s="6" t="s">
        <v>1</v>
      </c>
      <c r="M232" s="7" t="s">
        <v>27</v>
      </c>
      <c r="N232" s="6" t="s">
        <v>1</v>
      </c>
      <c r="O232" s="13" t="s">
        <v>1</v>
      </c>
      <c r="P232" s="6" t="s">
        <v>1</v>
      </c>
    </row>
    <row r="233" spans="1:16" x14ac:dyDescent="0.25">
      <c r="A233" s="7" t="s">
        <v>1082</v>
      </c>
      <c r="B233" s="6" t="s">
        <v>39</v>
      </c>
      <c r="C233" s="6" t="s">
        <v>648</v>
      </c>
      <c r="D233" s="6" t="s">
        <v>1083</v>
      </c>
      <c r="E233" s="7" t="s">
        <v>56</v>
      </c>
      <c r="F233" s="7" t="s">
        <v>48</v>
      </c>
      <c r="G233" s="6" t="s">
        <v>253</v>
      </c>
      <c r="H233" s="6" t="s">
        <v>1084</v>
      </c>
      <c r="I233" s="6" t="s">
        <v>88</v>
      </c>
      <c r="J233" s="6" t="s">
        <v>1085</v>
      </c>
      <c r="K233" s="7" t="s">
        <v>85</v>
      </c>
      <c r="L233" s="6" t="s">
        <v>1</v>
      </c>
      <c r="M233" s="7" t="s">
        <v>27</v>
      </c>
      <c r="N233" s="6" t="s">
        <v>1</v>
      </c>
      <c r="O233" s="13" t="s">
        <v>1</v>
      </c>
      <c r="P233" s="6" t="s">
        <v>1</v>
      </c>
    </row>
    <row r="234" spans="1:16" x14ac:dyDescent="0.25">
      <c r="A234" s="7" t="s">
        <v>1086</v>
      </c>
      <c r="B234" s="6" t="s">
        <v>39</v>
      </c>
      <c r="C234" s="6" t="s">
        <v>648</v>
      </c>
      <c r="D234" s="6" t="s">
        <v>1087</v>
      </c>
      <c r="E234" s="7" t="s">
        <v>56</v>
      </c>
      <c r="F234" s="7" t="s">
        <v>49</v>
      </c>
      <c r="G234" s="6" t="s">
        <v>670</v>
      </c>
      <c r="H234" s="6" t="s">
        <v>1088</v>
      </c>
      <c r="I234" s="6" t="s">
        <v>1089</v>
      </c>
      <c r="J234" s="6" t="s">
        <v>1090</v>
      </c>
      <c r="K234" s="7" t="s">
        <v>85</v>
      </c>
      <c r="L234" s="6" t="s">
        <v>1</v>
      </c>
      <c r="M234" s="7" t="s">
        <v>27</v>
      </c>
      <c r="N234" s="6" t="s">
        <v>1</v>
      </c>
      <c r="O234" s="13" t="s">
        <v>1</v>
      </c>
      <c r="P234" s="6" t="s">
        <v>1</v>
      </c>
    </row>
    <row r="235" spans="1:16" x14ac:dyDescent="0.25">
      <c r="A235" s="7" t="s">
        <v>1091</v>
      </c>
      <c r="B235" s="6" t="s">
        <v>39</v>
      </c>
      <c r="C235" s="6" t="s">
        <v>648</v>
      </c>
      <c r="D235" s="6" t="s">
        <v>1092</v>
      </c>
      <c r="E235" s="7" t="s">
        <v>56</v>
      </c>
      <c r="F235" s="7" t="s">
        <v>49</v>
      </c>
      <c r="G235" s="6" t="s">
        <v>88</v>
      </c>
      <c r="H235" s="6" t="s">
        <v>1093</v>
      </c>
      <c r="I235" s="6" t="s">
        <v>88</v>
      </c>
      <c r="J235" s="6" t="s">
        <v>1094</v>
      </c>
      <c r="K235" s="7" t="s">
        <v>85</v>
      </c>
      <c r="L235" s="6" t="s">
        <v>1</v>
      </c>
      <c r="M235" s="7" t="s">
        <v>27</v>
      </c>
      <c r="N235" s="6" t="s">
        <v>1</v>
      </c>
      <c r="O235" s="13" t="s">
        <v>1</v>
      </c>
      <c r="P235" s="6" t="s">
        <v>1</v>
      </c>
    </row>
    <row r="236" spans="1:16" x14ac:dyDescent="0.25">
      <c r="A236" s="7" t="s">
        <v>1095</v>
      </c>
      <c r="B236" s="6" t="s">
        <v>39</v>
      </c>
      <c r="C236" s="6" t="s">
        <v>648</v>
      </c>
      <c r="D236" s="6" t="s">
        <v>1096</v>
      </c>
      <c r="E236" s="7" t="s">
        <v>56</v>
      </c>
      <c r="F236" s="7" t="s">
        <v>49</v>
      </c>
      <c r="G236" s="6" t="s">
        <v>88</v>
      </c>
      <c r="H236" s="6" t="s">
        <v>1097</v>
      </c>
      <c r="I236" s="6" t="s">
        <v>88</v>
      </c>
      <c r="J236" s="6" t="s">
        <v>1098</v>
      </c>
      <c r="K236" s="7" t="s">
        <v>85</v>
      </c>
      <c r="L236" s="6" t="s">
        <v>1</v>
      </c>
      <c r="M236" s="7" t="s">
        <v>27</v>
      </c>
      <c r="N236" s="6" t="s">
        <v>1</v>
      </c>
      <c r="O236" s="13" t="s">
        <v>1</v>
      </c>
      <c r="P236" s="6" t="s">
        <v>1</v>
      </c>
    </row>
    <row r="237" spans="1:16" x14ac:dyDescent="0.25">
      <c r="A237" s="7" t="s">
        <v>1099</v>
      </c>
      <c r="B237" s="6" t="s">
        <v>39</v>
      </c>
      <c r="C237" s="6" t="s">
        <v>648</v>
      </c>
      <c r="D237" s="6" t="s">
        <v>1100</v>
      </c>
      <c r="E237" s="7" t="s">
        <v>56</v>
      </c>
      <c r="F237" s="7" t="s">
        <v>49</v>
      </c>
      <c r="G237" s="6" t="s">
        <v>88</v>
      </c>
      <c r="H237" s="6" t="s">
        <v>1101</v>
      </c>
      <c r="I237" s="6" t="s">
        <v>88</v>
      </c>
      <c r="J237" s="6" t="s">
        <v>1102</v>
      </c>
      <c r="K237" s="7" t="s">
        <v>85</v>
      </c>
      <c r="L237" s="6" t="s">
        <v>1</v>
      </c>
      <c r="M237" s="7" t="s">
        <v>27</v>
      </c>
      <c r="N237" s="6" t="s">
        <v>1</v>
      </c>
      <c r="O237" s="13" t="s">
        <v>1</v>
      </c>
      <c r="P237" s="6" t="s">
        <v>1</v>
      </c>
    </row>
    <row r="238" spans="1:16" x14ac:dyDescent="0.25">
      <c r="A238" s="7" t="s">
        <v>1103</v>
      </c>
      <c r="B238" s="6" t="s">
        <v>39</v>
      </c>
      <c r="C238" s="6" t="s">
        <v>648</v>
      </c>
      <c r="D238" s="6" t="s">
        <v>1104</v>
      </c>
      <c r="E238" s="7" t="s">
        <v>56</v>
      </c>
      <c r="F238" s="7" t="s">
        <v>50</v>
      </c>
      <c r="G238" s="6" t="s">
        <v>88</v>
      </c>
      <c r="H238" s="6" t="s">
        <v>1105</v>
      </c>
      <c r="I238" s="6" t="s">
        <v>88</v>
      </c>
      <c r="J238" s="6" t="s">
        <v>1106</v>
      </c>
      <c r="K238" s="7" t="s">
        <v>85</v>
      </c>
      <c r="L238" s="6" t="s">
        <v>1</v>
      </c>
      <c r="M238" s="7" t="s">
        <v>27</v>
      </c>
      <c r="N238" s="6" t="s">
        <v>1</v>
      </c>
      <c r="O238" s="13" t="s">
        <v>1</v>
      </c>
      <c r="P238" s="6" t="s">
        <v>1</v>
      </c>
    </row>
    <row r="239" spans="1:16" x14ac:dyDescent="0.25">
      <c r="A239" s="7" t="s">
        <v>1107</v>
      </c>
      <c r="B239" s="6" t="s">
        <v>39</v>
      </c>
      <c r="C239" s="6" t="s">
        <v>648</v>
      </c>
      <c r="D239" s="6" t="s">
        <v>1108</v>
      </c>
      <c r="E239" s="7" t="s">
        <v>56</v>
      </c>
      <c r="F239" s="7" t="s">
        <v>50</v>
      </c>
      <c r="G239" s="6" t="s">
        <v>88</v>
      </c>
      <c r="H239" s="6" t="s">
        <v>1109</v>
      </c>
      <c r="I239" s="6" t="s">
        <v>88</v>
      </c>
      <c r="J239" s="6" t="s">
        <v>1110</v>
      </c>
      <c r="K239" s="7" t="s">
        <v>85</v>
      </c>
      <c r="L239" s="6" t="s">
        <v>1</v>
      </c>
      <c r="M239" s="7" t="s">
        <v>27</v>
      </c>
      <c r="N239" s="6" t="s">
        <v>1</v>
      </c>
      <c r="O239" s="13" t="s">
        <v>1</v>
      </c>
      <c r="P239" s="6" t="s">
        <v>1</v>
      </c>
    </row>
    <row r="240" spans="1:16" x14ac:dyDescent="0.25">
      <c r="A240" s="7" t="s">
        <v>1111</v>
      </c>
      <c r="B240" s="6" t="s">
        <v>39</v>
      </c>
      <c r="C240" s="6" t="s">
        <v>648</v>
      </c>
      <c r="D240" s="6" t="s">
        <v>1112</v>
      </c>
      <c r="E240" s="7" t="s">
        <v>56</v>
      </c>
      <c r="F240" s="7" t="s">
        <v>50</v>
      </c>
      <c r="G240" s="6" t="s">
        <v>88</v>
      </c>
      <c r="H240" s="6" t="s">
        <v>1113</v>
      </c>
      <c r="I240" s="6" t="s">
        <v>88</v>
      </c>
      <c r="J240" s="6" t="s">
        <v>1114</v>
      </c>
      <c r="K240" s="7" t="s">
        <v>85</v>
      </c>
      <c r="L240" s="6" t="s">
        <v>1</v>
      </c>
      <c r="M240" s="7" t="s">
        <v>27</v>
      </c>
      <c r="N240" s="6" t="s">
        <v>1</v>
      </c>
      <c r="O240" s="13" t="s">
        <v>1</v>
      </c>
      <c r="P240" s="6" t="s">
        <v>1</v>
      </c>
    </row>
    <row r="241" spans="1:16" x14ac:dyDescent="0.25">
      <c r="A241" s="7" t="s">
        <v>1115</v>
      </c>
      <c r="B241" s="6" t="s">
        <v>39</v>
      </c>
      <c r="C241" s="6" t="s">
        <v>648</v>
      </c>
      <c r="D241" s="6" t="s">
        <v>1116</v>
      </c>
      <c r="E241" s="7" t="s">
        <v>61</v>
      </c>
      <c r="F241" s="7" t="s">
        <v>51</v>
      </c>
      <c r="G241" s="6" t="s">
        <v>88</v>
      </c>
      <c r="H241" s="6" t="s">
        <v>1117</v>
      </c>
      <c r="I241" s="6" t="s">
        <v>88</v>
      </c>
      <c r="J241" s="6" t="s">
        <v>1118</v>
      </c>
      <c r="K241" s="7" t="s">
        <v>85</v>
      </c>
      <c r="L241" s="6" t="s">
        <v>1</v>
      </c>
      <c r="M241" s="7" t="s">
        <v>27</v>
      </c>
      <c r="N241" s="6" t="s">
        <v>1</v>
      </c>
      <c r="O241" s="13" t="s">
        <v>1</v>
      </c>
      <c r="P241" s="6" t="s">
        <v>1</v>
      </c>
    </row>
    <row r="242" spans="1:16" x14ac:dyDescent="0.25">
      <c r="A242" s="7" t="s">
        <v>1119</v>
      </c>
      <c r="B242" s="6" t="s">
        <v>39</v>
      </c>
      <c r="C242" s="6" t="s">
        <v>1120</v>
      </c>
      <c r="D242" s="6" t="s">
        <v>1121</v>
      </c>
      <c r="E242" s="7" t="s">
        <v>57</v>
      </c>
      <c r="F242" s="7" t="s">
        <v>48</v>
      </c>
      <c r="G242" s="6" t="s">
        <v>1122</v>
      </c>
      <c r="H242" s="6" t="s">
        <v>1123</v>
      </c>
      <c r="I242" s="6" t="s">
        <v>88</v>
      </c>
      <c r="J242" s="6" t="s">
        <v>1124</v>
      </c>
      <c r="K242" s="7" t="s">
        <v>85</v>
      </c>
      <c r="L242" s="6" t="s">
        <v>1</v>
      </c>
      <c r="M242" s="7" t="s">
        <v>27</v>
      </c>
      <c r="N242" s="6" t="s">
        <v>1</v>
      </c>
      <c r="O242" s="13" t="s">
        <v>1</v>
      </c>
      <c r="P242" s="6" t="s">
        <v>1</v>
      </c>
    </row>
    <row r="243" spans="1:16" x14ac:dyDescent="0.25">
      <c r="A243" s="7" t="s">
        <v>1125</v>
      </c>
      <c r="B243" s="6" t="s">
        <v>40</v>
      </c>
      <c r="C243" s="6" t="s">
        <v>112</v>
      </c>
      <c r="D243" s="6" t="s">
        <v>1126</v>
      </c>
      <c r="E243" s="7" t="s">
        <v>61</v>
      </c>
      <c r="F243" s="7" t="s">
        <v>50</v>
      </c>
      <c r="G243" s="6" t="s">
        <v>88</v>
      </c>
      <c r="H243" s="6" t="s">
        <v>114</v>
      </c>
      <c r="I243" s="6" t="s">
        <v>88</v>
      </c>
      <c r="J243" s="6" t="s">
        <v>1127</v>
      </c>
      <c r="K243" s="7" t="s">
        <v>85</v>
      </c>
      <c r="L243" s="6" t="s">
        <v>1</v>
      </c>
      <c r="M243" s="7" t="s">
        <v>27</v>
      </c>
      <c r="N243" s="6" t="s">
        <v>1</v>
      </c>
      <c r="O243" s="13" t="s">
        <v>1</v>
      </c>
      <c r="P243" s="6" t="s">
        <v>1</v>
      </c>
    </row>
    <row r="244" spans="1:16" x14ac:dyDescent="0.25">
      <c r="A244" s="7" t="s">
        <v>1128</v>
      </c>
      <c r="B244" s="6" t="s">
        <v>40</v>
      </c>
      <c r="C244" s="6" t="s">
        <v>1129</v>
      </c>
      <c r="D244" s="6" t="s">
        <v>1130</v>
      </c>
      <c r="E244" s="7" t="s">
        <v>56</v>
      </c>
      <c r="F244" s="7" t="s">
        <v>48</v>
      </c>
      <c r="G244" s="6" t="s">
        <v>1131</v>
      </c>
      <c r="H244" s="6" t="s">
        <v>1132</v>
      </c>
      <c r="I244" s="6" t="s">
        <v>88</v>
      </c>
      <c r="J244" s="6" t="s">
        <v>1133</v>
      </c>
      <c r="K244" s="7" t="s">
        <v>85</v>
      </c>
      <c r="L244" s="6" t="s">
        <v>1</v>
      </c>
      <c r="M244" s="7" t="s">
        <v>27</v>
      </c>
      <c r="N244" s="6" t="s">
        <v>1</v>
      </c>
      <c r="O244" s="13" t="s">
        <v>1</v>
      </c>
      <c r="P244" s="6" t="s">
        <v>1</v>
      </c>
    </row>
    <row r="245" spans="1:16" x14ac:dyDescent="0.25">
      <c r="A245" s="7" t="s">
        <v>1134</v>
      </c>
      <c r="B245" s="6" t="s">
        <v>40</v>
      </c>
      <c r="C245" s="6" t="s">
        <v>1129</v>
      </c>
      <c r="D245" s="6" t="s">
        <v>1135</v>
      </c>
      <c r="E245" s="7" t="s">
        <v>56</v>
      </c>
      <c r="F245" s="7" t="s">
        <v>49</v>
      </c>
      <c r="G245" s="6" t="s">
        <v>1136</v>
      </c>
      <c r="H245" s="6" t="s">
        <v>1137</v>
      </c>
      <c r="I245" s="6" t="s">
        <v>88</v>
      </c>
      <c r="J245" s="6" t="s">
        <v>1138</v>
      </c>
      <c r="K245" s="7" t="s">
        <v>85</v>
      </c>
      <c r="L245" s="6" t="s">
        <v>1</v>
      </c>
      <c r="M245" s="7" t="s">
        <v>27</v>
      </c>
      <c r="N245" s="6" t="s">
        <v>1</v>
      </c>
      <c r="O245" s="13" t="s">
        <v>1</v>
      </c>
      <c r="P245" s="6" t="s">
        <v>1</v>
      </c>
    </row>
    <row r="246" spans="1:16" x14ac:dyDescent="0.25">
      <c r="A246" s="7" t="s">
        <v>1139</v>
      </c>
      <c r="B246" s="6" t="s">
        <v>40</v>
      </c>
      <c r="C246" s="6" t="s">
        <v>1129</v>
      </c>
      <c r="D246" s="6" t="s">
        <v>1140</v>
      </c>
      <c r="E246" s="7" t="s">
        <v>56</v>
      </c>
      <c r="F246" s="7" t="s">
        <v>51</v>
      </c>
      <c r="G246" s="6" t="s">
        <v>88</v>
      </c>
      <c r="H246" s="6" t="s">
        <v>1141</v>
      </c>
      <c r="I246" s="6" t="s">
        <v>88</v>
      </c>
      <c r="J246" s="6" t="s">
        <v>1142</v>
      </c>
      <c r="K246" s="7" t="s">
        <v>85</v>
      </c>
      <c r="L246" s="6" t="s">
        <v>1</v>
      </c>
      <c r="M246" s="7" t="s">
        <v>27</v>
      </c>
      <c r="N246" s="6" t="s">
        <v>1</v>
      </c>
      <c r="O246" s="13" t="s">
        <v>1</v>
      </c>
      <c r="P246" s="6" t="s">
        <v>1</v>
      </c>
    </row>
    <row r="247" spans="1:16" x14ac:dyDescent="0.25">
      <c r="A247" s="7" t="s">
        <v>1143</v>
      </c>
      <c r="B247" s="6" t="s">
        <v>40</v>
      </c>
      <c r="C247" s="6" t="s">
        <v>1144</v>
      </c>
      <c r="D247" s="6" t="s">
        <v>1145</v>
      </c>
      <c r="E247" s="7" t="s">
        <v>56</v>
      </c>
      <c r="F247" s="7" t="s">
        <v>48</v>
      </c>
      <c r="G247" s="6" t="s">
        <v>88</v>
      </c>
      <c r="H247" s="6" t="s">
        <v>1146</v>
      </c>
      <c r="I247" s="6" t="s">
        <v>88</v>
      </c>
      <c r="J247" s="6" t="s">
        <v>1147</v>
      </c>
      <c r="K247" s="7" t="s">
        <v>85</v>
      </c>
      <c r="L247" s="6" t="s">
        <v>1</v>
      </c>
      <c r="M247" s="7" t="s">
        <v>27</v>
      </c>
      <c r="N247" s="6" t="s">
        <v>1</v>
      </c>
      <c r="O247" s="13" t="s">
        <v>1</v>
      </c>
      <c r="P247" s="6" t="s">
        <v>1</v>
      </c>
    </row>
    <row r="248" spans="1:16" x14ac:dyDescent="0.25">
      <c r="A248" s="7" t="s">
        <v>1148</v>
      </c>
      <c r="B248" s="6" t="s">
        <v>40</v>
      </c>
      <c r="C248" s="6" t="s">
        <v>1144</v>
      </c>
      <c r="D248" s="6" t="s">
        <v>1149</v>
      </c>
      <c r="E248" s="7" t="s">
        <v>56</v>
      </c>
      <c r="F248" s="7" t="s">
        <v>49</v>
      </c>
      <c r="G248" s="6" t="s">
        <v>88</v>
      </c>
      <c r="H248" s="6" t="s">
        <v>1150</v>
      </c>
      <c r="I248" s="6" t="s">
        <v>88</v>
      </c>
      <c r="J248" s="6" t="s">
        <v>1151</v>
      </c>
      <c r="K248" s="7" t="s">
        <v>85</v>
      </c>
      <c r="L248" s="6" t="s">
        <v>1</v>
      </c>
      <c r="M248" s="7" t="s">
        <v>27</v>
      </c>
      <c r="N248" s="6" t="s">
        <v>1</v>
      </c>
      <c r="O248" s="13" t="s">
        <v>1</v>
      </c>
      <c r="P248" s="6" t="s">
        <v>1</v>
      </c>
    </row>
    <row r="249" spans="1:16" x14ac:dyDescent="0.25">
      <c r="A249" s="7" t="s">
        <v>1152</v>
      </c>
      <c r="B249" s="6" t="s">
        <v>40</v>
      </c>
      <c r="C249" s="6" t="s">
        <v>1144</v>
      </c>
      <c r="D249" s="6" t="s">
        <v>1153</v>
      </c>
      <c r="E249" s="7" t="s">
        <v>53</v>
      </c>
      <c r="F249" s="7" t="s">
        <v>48</v>
      </c>
      <c r="G249" s="6" t="s">
        <v>88</v>
      </c>
      <c r="H249" s="6" t="s">
        <v>1154</v>
      </c>
      <c r="I249" s="6" t="s">
        <v>88</v>
      </c>
      <c r="J249" s="6" t="s">
        <v>1155</v>
      </c>
      <c r="K249" s="7" t="s">
        <v>85</v>
      </c>
      <c r="L249" s="6" t="s">
        <v>1</v>
      </c>
      <c r="M249" s="7" t="s">
        <v>27</v>
      </c>
      <c r="N249" s="6" t="s">
        <v>1</v>
      </c>
      <c r="O249" s="13" t="s">
        <v>1</v>
      </c>
      <c r="P249" s="6" t="s">
        <v>1</v>
      </c>
    </row>
    <row r="250" spans="1:16" x14ac:dyDescent="0.25">
      <c r="A250" s="7" t="s">
        <v>1156</v>
      </c>
      <c r="B250" s="6" t="s">
        <v>40</v>
      </c>
      <c r="C250" s="6" t="s">
        <v>1144</v>
      </c>
      <c r="D250" s="6" t="s">
        <v>1157</v>
      </c>
      <c r="E250" s="7" t="s">
        <v>56</v>
      </c>
      <c r="F250" s="7" t="s">
        <v>49</v>
      </c>
      <c r="G250" s="6" t="s">
        <v>88</v>
      </c>
      <c r="H250" s="6" t="s">
        <v>1158</v>
      </c>
      <c r="I250" s="6" t="s">
        <v>88</v>
      </c>
      <c r="J250" s="6" t="s">
        <v>1159</v>
      </c>
      <c r="K250" s="7" t="s">
        <v>85</v>
      </c>
      <c r="L250" s="6" t="s">
        <v>1</v>
      </c>
      <c r="M250" s="7" t="s">
        <v>27</v>
      </c>
      <c r="N250" s="6" t="s">
        <v>1</v>
      </c>
      <c r="O250" s="13" t="s">
        <v>1</v>
      </c>
      <c r="P250" s="6" t="s">
        <v>1</v>
      </c>
    </row>
    <row r="251" spans="1:16" x14ac:dyDescent="0.25">
      <c r="A251" s="7" t="s">
        <v>1160</v>
      </c>
      <c r="B251" s="6" t="s">
        <v>40</v>
      </c>
      <c r="C251" s="6" t="s">
        <v>1144</v>
      </c>
      <c r="D251" s="6" t="s">
        <v>1161</v>
      </c>
      <c r="E251" s="7" t="s">
        <v>56</v>
      </c>
      <c r="F251" s="7" t="s">
        <v>49</v>
      </c>
      <c r="G251" s="6" t="s">
        <v>1162</v>
      </c>
      <c r="H251" s="6" t="s">
        <v>1163</v>
      </c>
      <c r="I251" s="6" t="s">
        <v>88</v>
      </c>
      <c r="J251" s="6" t="s">
        <v>1164</v>
      </c>
      <c r="K251" s="7" t="s">
        <v>85</v>
      </c>
      <c r="L251" s="6" t="s">
        <v>1</v>
      </c>
      <c r="M251" s="7" t="s">
        <v>27</v>
      </c>
      <c r="N251" s="6" t="s">
        <v>1</v>
      </c>
      <c r="O251" s="13" t="s">
        <v>1</v>
      </c>
      <c r="P251" s="6" t="s">
        <v>1</v>
      </c>
    </row>
    <row r="252" spans="1:16" x14ac:dyDescent="0.25">
      <c r="A252" s="7" t="s">
        <v>1165</v>
      </c>
      <c r="B252" s="6" t="s">
        <v>40</v>
      </c>
      <c r="C252" s="6" t="s">
        <v>1144</v>
      </c>
      <c r="D252" s="6" t="s">
        <v>1166</v>
      </c>
      <c r="E252" s="7" t="s">
        <v>55</v>
      </c>
      <c r="F252" s="7" t="s">
        <v>48</v>
      </c>
      <c r="G252" s="6" t="s">
        <v>88</v>
      </c>
      <c r="H252" s="6" t="s">
        <v>1167</v>
      </c>
      <c r="I252" s="6" t="s">
        <v>88</v>
      </c>
      <c r="J252" s="6" t="s">
        <v>1168</v>
      </c>
      <c r="K252" s="7" t="s">
        <v>55</v>
      </c>
      <c r="L252" s="6" t="s">
        <v>1</v>
      </c>
      <c r="M252" s="7" t="s">
        <v>27</v>
      </c>
      <c r="N252" s="6" t="s">
        <v>1</v>
      </c>
      <c r="O252" s="13" t="s">
        <v>1</v>
      </c>
      <c r="P252" s="6" t="s">
        <v>1</v>
      </c>
    </row>
    <row r="253" spans="1:16" x14ac:dyDescent="0.25">
      <c r="A253" s="7" t="s">
        <v>1169</v>
      </c>
      <c r="B253" s="6" t="s">
        <v>40</v>
      </c>
      <c r="C253" s="6" t="s">
        <v>1170</v>
      </c>
      <c r="D253" s="6" t="s">
        <v>1171</v>
      </c>
      <c r="E253" s="7" t="s">
        <v>55</v>
      </c>
      <c r="F253" s="7" t="s">
        <v>48</v>
      </c>
      <c r="G253" s="6" t="s">
        <v>1172</v>
      </c>
      <c r="H253" s="6" t="s">
        <v>1173</v>
      </c>
      <c r="I253" s="6" t="s">
        <v>295</v>
      </c>
      <c r="J253" s="6" t="s">
        <v>1174</v>
      </c>
      <c r="K253" s="7" t="s">
        <v>85</v>
      </c>
      <c r="L253" s="6" t="s">
        <v>1</v>
      </c>
      <c r="M253" s="7" t="s">
        <v>27</v>
      </c>
      <c r="N253" s="6" t="s">
        <v>1</v>
      </c>
      <c r="O253" s="13" t="s">
        <v>1</v>
      </c>
      <c r="P253" s="6" t="s">
        <v>1</v>
      </c>
    </row>
    <row r="254" spans="1:16" x14ac:dyDescent="0.25">
      <c r="A254" s="7" t="s">
        <v>1175</v>
      </c>
      <c r="B254" s="6" t="s">
        <v>40</v>
      </c>
      <c r="C254" s="6" t="s">
        <v>1170</v>
      </c>
      <c r="D254" s="6" t="s">
        <v>1176</v>
      </c>
      <c r="E254" s="7" t="s">
        <v>55</v>
      </c>
      <c r="F254" s="7" t="s">
        <v>49</v>
      </c>
      <c r="G254" s="6" t="s">
        <v>715</v>
      </c>
      <c r="H254" s="6" t="s">
        <v>1177</v>
      </c>
      <c r="I254" s="6" t="s">
        <v>88</v>
      </c>
      <c r="J254" s="6" t="s">
        <v>1178</v>
      </c>
      <c r="K254" s="7" t="s">
        <v>85</v>
      </c>
      <c r="L254" s="6" t="s">
        <v>1</v>
      </c>
      <c r="M254" s="7" t="s">
        <v>27</v>
      </c>
      <c r="N254" s="6" t="s">
        <v>1</v>
      </c>
      <c r="O254" s="13" t="s">
        <v>1</v>
      </c>
      <c r="P254" s="6" t="s">
        <v>1</v>
      </c>
    </row>
    <row r="255" spans="1:16" x14ac:dyDescent="0.25">
      <c r="A255" s="7" t="s">
        <v>1179</v>
      </c>
      <c r="B255" s="6" t="s">
        <v>40</v>
      </c>
      <c r="C255" s="6" t="s">
        <v>1180</v>
      </c>
      <c r="D255" s="6" t="s">
        <v>1181</v>
      </c>
      <c r="E255" s="7" t="s">
        <v>55</v>
      </c>
      <c r="F255" s="7" t="s">
        <v>48</v>
      </c>
      <c r="G255" s="6" t="s">
        <v>88</v>
      </c>
      <c r="H255" s="6" t="s">
        <v>1182</v>
      </c>
      <c r="I255" s="6" t="s">
        <v>88</v>
      </c>
      <c r="J255" s="6" t="s">
        <v>1183</v>
      </c>
      <c r="K255" s="7" t="s">
        <v>85</v>
      </c>
      <c r="L255" s="6" t="s">
        <v>1</v>
      </c>
      <c r="M255" s="7" t="s">
        <v>27</v>
      </c>
      <c r="N255" s="6" t="s">
        <v>1</v>
      </c>
      <c r="O255" s="13" t="s">
        <v>1</v>
      </c>
      <c r="P255" s="6" t="s">
        <v>1</v>
      </c>
    </row>
    <row r="256" spans="1:16" x14ac:dyDescent="0.25">
      <c r="A256" s="7" t="s">
        <v>1184</v>
      </c>
      <c r="B256" s="6" t="s">
        <v>40</v>
      </c>
      <c r="C256" s="6" t="s">
        <v>1180</v>
      </c>
      <c r="D256" s="6" t="s">
        <v>1185</v>
      </c>
      <c r="E256" s="7" t="s">
        <v>55</v>
      </c>
      <c r="F256" s="7" t="s">
        <v>48</v>
      </c>
      <c r="G256" s="6" t="s">
        <v>88</v>
      </c>
      <c r="H256" s="6" t="s">
        <v>1186</v>
      </c>
      <c r="I256" s="6" t="s">
        <v>88</v>
      </c>
      <c r="J256" s="6" t="s">
        <v>1187</v>
      </c>
      <c r="K256" s="7" t="s">
        <v>85</v>
      </c>
      <c r="L256" s="6" t="s">
        <v>1</v>
      </c>
      <c r="M256" s="7" t="s">
        <v>27</v>
      </c>
      <c r="N256" s="6" t="s">
        <v>1</v>
      </c>
      <c r="O256" s="13" t="s">
        <v>1</v>
      </c>
      <c r="P256" s="6" t="s">
        <v>1</v>
      </c>
    </row>
    <row r="257" spans="1:16" x14ac:dyDescent="0.25">
      <c r="A257" s="7" t="s">
        <v>1188</v>
      </c>
      <c r="B257" s="6" t="s">
        <v>40</v>
      </c>
      <c r="C257" s="6" t="s">
        <v>1180</v>
      </c>
      <c r="D257" s="6" t="s">
        <v>1189</v>
      </c>
      <c r="E257" s="7" t="s">
        <v>55</v>
      </c>
      <c r="F257" s="7" t="s">
        <v>49</v>
      </c>
      <c r="G257" s="6" t="s">
        <v>88</v>
      </c>
      <c r="H257" s="6" t="s">
        <v>1190</v>
      </c>
      <c r="I257" s="6" t="s">
        <v>88</v>
      </c>
      <c r="J257" s="6" t="s">
        <v>1191</v>
      </c>
      <c r="K257" s="7" t="s">
        <v>85</v>
      </c>
      <c r="L257" s="6" t="s">
        <v>1</v>
      </c>
      <c r="M257" s="7" t="s">
        <v>27</v>
      </c>
      <c r="N257" s="6" t="s">
        <v>1</v>
      </c>
      <c r="O257" s="13" t="s">
        <v>1</v>
      </c>
      <c r="P257" s="6" t="s">
        <v>1</v>
      </c>
    </row>
    <row r="258" spans="1:16" x14ac:dyDescent="0.25">
      <c r="A258" s="7" t="s">
        <v>1192</v>
      </c>
      <c r="B258" s="6" t="s">
        <v>40</v>
      </c>
      <c r="C258" s="6" t="s">
        <v>1010</v>
      </c>
      <c r="D258" s="6" t="s">
        <v>1193</v>
      </c>
      <c r="E258" s="7" t="s">
        <v>53</v>
      </c>
      <c r="F258" s="7" t="s">
        <v>49</v>
      </c>
      <c r="G258" s="6" t="s">
        <v>88</v>
      </c>
      <c r="H258" s="6" t="s">
        <v>1194</v>
      </c>
      <c r="I258" s="6" t="s">
        <v>88</v>
      </c>
      <c r="J258" s="6" t="s">
        <v>1195</v>
      </c>
      <c r="K258" s="7" t="s">
        <v>85</v>
      </c>
      <c r="L258" s="6" t="s">
        <v>1</v>
      </c>
      <c r="M258" s="7" t="s">
        <v>27</v>
      </c>
      <c r="N258" s="6" t="s">
        <v>1</v>
      </c>
      <c r="O258" s="13" t="s">
        <v>1</v>
      </c>
      <c r="P258" s="6" t="s">
        <v>1</v>
      </c>
    </row>
    <row r="259" spans="1:16" x14ac:dyDescent="0.25">
      <c r="A259" s="7" t="s">
        <v>1196</v>
      </c>
      <c r="B259" s="6" t="s">
        <v>40</v>
      </c>
      <c r="C259" s="6" t="s">
        <v>63</v>
      </c>
      <c r="D259" s="6" t="s">
        <v>1197</v>
      </c>
      <c r="E259" s="7" t="s">
        <v>58</v>
      </c>
      <c r="F259" s="7" t="s">
        <v>48</v>
      </c>
      <c r="G259" s="6" t="s">
        <v>88</v>
      </c>
      <c r="H259" s="6" t="s">
        <v>1198</v>
      </c>
      <c r="I259" s="6" t="s">
        <v>88</v>
      </c>
      <c r="J259" s="6" t="s">
        <v>1199</v>
      </c>
      <c r="K259" s="7" t="s">
        <v>85</v>
      </c>
      <c r="L259" s="6" t="s">
        <v>1</v>
      </c>
      <c r="M259" s="7" t="s">
        <v>27</v>
      </c>
      <c r="N259" s="6" t="s">
        <v>1</v>
      </c>
      <c r="O259" s="13" t="s">
        <v>1</v>
      </c>
      <c r="P259" s="6" t="s">
        <v>1</v>
      </c>
    </row>
    <row r="260" spans="1:16" x14ac:dyDescent="0.25">
      <c r="A260" s="7" t="s">
        <v>1200</v>
      </c>
      <c r="B260" s="6" t="s">
        <v>40</v>
      </c>
      <c r="C260" s="6" t="s">
        <v>63</v>
      </c>
      <c r="D260" s="6" t="s">
        <v>1201</v>
      </c>
      <c r="E260" s="7" t="s">
        <v>43</v>
      </c>
      <c r="F260" s="7" t="s">
        <v>48</v>
      </c>
      <c r="G260" s="6" t="s">
        <v>88</v>
      </c>
      <c r="H260" s="6" t="s">
        <v>1202</v>
      </c>
      <c r="I260" s="6" t="s">
        <v>88</v>
      </c>
      <c r="J260" s="6" t="s">
        <v>1203</v>
      </c>
      <c r="K260" s="7" t="s">
        <v>85</v>
      </c>
      <c r="L260" s="6" t="s">
        <v>1</v>
      </c>
      <c r="M260" s="7" t="s">
        <v>27</v>
      </c>
      <c r="N260" s="6" t="s">
        <v>1</v>
      </c>
      <c r="O260" s="13" t="s">
        <v>1</v>
      </c>
      <c r="P260" s="6" t="s">
        <v>1</v>
      </c>
    </row>
    <row r="261" spans="1:16" x14ac:dyDescent="0.25">
      <c r="A261" s="7" t="s">
        <v>1204</v>
      </c>
      <c r="B261" s="6" t="s">
        <v>40</v>
      </c>
      <c r="C261" s="6" t="s">
        <v>1120</v>
      </c>
      <c r="D261" s="6" t="s">
        <v>1205</v>
      </c>
      <c r="E261" s="7" t="s">
        <v>57</v>
      </c>
      <c r="F261" s="7" t="s">
        <v>49</v>
      </c>
      <c r="G261" s="6" t="s">
        <v>88</v>
      </c>
      <c r="H261" s="6" t="s">
        <v>1206</v>
      </c>
      <c r="I261" s="6" t="s">
        <v>88</v>
      </c>
      <c r="J261" s="6" t="s">
        <v>1207</v>
      </c>
      <c r="K261" s="7" t="s">
        <v>85</v>
      </c>
      <c r="L261" s="6" t="s">
        <v>1</v>
      </c>
      <c r="M261" s="7" t="s">
        <v>27</v>
      </c>
      <c r="N261" s="6" t="s">
        <v>1</v>
      </c>
      <c r="O261" s="13" t="s">
        <v>1</v>
      </c>
      <c r="P261" s="6" t="s">
        <v>1</v>
      </c>
    </row>
    <row r="262" spans="1:16" x14ac:dyDescent="0.25">
      <c r="A262" s="7" t="s">
        <v>1208</v>
      </c>
      <c r="B262" s="6" t="s">
        <v>41</v>
      </c>
      <c r="C262" s="6" t="s">
        <v>1209</v>
      </c>
      <c r="D262" s="6" t="s">
        <v>1210</v>
      </c>
      <c r="E262" s="7" t="s">
        <v>56</v>
      </c>
      <c r="F262" s="7" t="s">
        <v>48</v>
      </c>
      <c r="G262" s="6" t="s">
        <v>88</v>
      </c>
      <c r="H262" s="6" t="s">
        <v>1211</v>
      </c>
      <c r="I262" s="6" t="s">
        <v>88</v>
      </c>
      <c r="J262" s="6" t="s">
        <v>1212</v>
      </c>
      <c r="K262" s="7" t="s">
        <v>85</v>
      </c>
      <c r="L262" s="6" t="s">
        <v>1</v>
      </c>
      <c r="M262" s="7" t="s">
        <v>27</v>
      </c>
      <c r="N262" s="6" t="s">
        <v>1</v>
      </c>
      <c r="O262" s="13" t="s">
        <v>1</v>
      </c>
      <c r="P262" s="6" t="s">
        <v>1</v>
      </c>
    </row>
    <row r="263" spans="1:16" x14ac:dyDescent="0.25">
      <c r="A263" s="7" t="s">
        <v>1213</v>
      </c>
      <c r="B263" s="6" t="s">
        <v>41</v>
      </c>
      <c r="C263" s="6" t="s">
        <v>1209</v>
      </c>
      <c r="D263" s="6" t="s">
        <v>1214</v>
      </c>
      <c r="E263" s="7" t="s">
        <v>56</v>
      </c>
      <c r="F263" s="7" t="s">
        <v>50</v>
      </c>
      <c r="G263" s="6" t="s">
        <v>88</v>
      </c>
      <c r="H263" s="6" t="s">
        <v>1215</v>
      </c>
      <c r="I263" s="6" t="s">
        <v>1216</v>
      </c>
      <c r="J263" s="6" t="s">
        <v>1217</v>
      </c>
      <c r="K263" s="7" t="s">
        <v>85</v>
      </c>
      <c r="L263" s="6" t="s">
        <v>1</v>
      </c>
      <c r="M263" s="7" t="s">
        <v>27</v>
      </c>
      <c r="N263" s="6" t="s">
        <v>1</v>
      </c>
      <c r="O263" s="13" t="s">
        <v>1</v>
      </c>
      <c r="P263" s="6" t="s">
        <v>1</v>
      </c>
    </row>
    <row r="264" spans="1:16" x14ac:dyDescent="0.25">
      <c r="A264" s="7" t="s">
        <v>1218</v>
      </c>
      <c r="B264" s="6" t="s">
        <v>41</v>
      </c>
      <c r="C264" s="6" t="s">
        <v>1209</v>
      </c>
      <c r="D264" s="6" t="s">
        <v>1219</v>
      </c>
      <c r="E264" s="7" t="s">
        <v>63</v>
      </c>
      <c r="F264" s="7" t="s">
        <v>50</v>
      </c>
      <c r="G264" s="6" t="s">
        <v>88</v>
      </c>
      <c r="H264" s="6" t="s">
        <v>1220</v>
      </c>
      <c r="I264" s="6" t="s">
        <v>88</v>
      </c>
      <c r="J264" s="6" t="s">
        <v>1221</v>
      </c>
      <c r="K264" s="7" t="s">
        <v>85</v>
      </c>
      <c r="L264" s="6" t="s">
        <v>1</v>
      </c>
      <c r="M264" s="7" t="s">
        <v>27</v>
      </c>
      <c r="N264" s="6" t="s">
        <v>1</v>
      </c>
      <c r="O264" s="13" t="s">
        <v>1</v>
      </c>
      <c r="P264" s="6" t="s">
        <v>1</v>
      </c>
    </row>
    <row r="265" spans="1:16" x14ac:dyDescent="0.25">
      <c r="A265" s="7" t="s">
        <v>1222</v>
      </c>
      <c r="B265" s="6" t="s">
        <v>41</v>
      </c>
      <c r="C265" s="6" t="s">
        <v>1209</v>
      </c>
      <c r="D265" s="6" t="s">
        <v>1223</v>
      </c>
      <c r="E265" s="7" t="s">
        <v>56</v>
      </c>
      <c r="F265" s="7" t="s">
        <v>50</v>
      </c>
      <c r="G265" s="6" t="s">
        <v>1224</v>
      </c>
      <c r="H265" s="6" t="s">
        <v>1225</v>
      </c>
      <c r="I265" s="6" t="s">
        <v>88</v>
      </c>
      <c r="J265" s="6" t="s">
        <v>1226</v>
      </c>
      <c r="K265" s="7" t="s">
        <v>85</v>
      </c>
      <c r="L265" s="6" t="s">
        <v>1</v>
      </c>
      <c r="M265" s="7" t="s">
        <v>27</v>
      </c>
      <c r="N265" s="6" t="s">
        <v>1</v>
      </c>
      <c r="O265" s="13" t="s">
        <v>1</v>
      </c>
      <c r="P265" s="6" t="s">
        <v>1</v>
      </c>
    </row>
    <row r="266" spans="1:16" x14ac:dyDescent="0.25">
      <c r="A266" s="7" t="s">
        <v>1227</v>
      </c>
      <c r="B266" s="6" t="s">
        <v>41</v>
      </c>
      <c r="C266" s="6" t="s">
        <v>648</v>
      </c>
      <c r="D266" s="6" t="s">
        <v>1228</v>
      </c>
      <c r="E266" s="7" t="s">
        <v>56</v>
      </c>
      <c r="F266" s="7" t="s">
        <v>49</v>
      </c>
      <c r="G266" s="6" t="s">
        <v>1229</v>
      </c>
      <c r="H266" s="6" t="s">
        <v>1230</v>
      </c>
      <c r="I266" s="6" t="s">
        <v>88</v>
      </c>
      <c r="J266" s="6" t="s">
        <v>1231</v>
      </c>
      <c r="K266" s="7" t="s">
        <v>85</v>
      </c>
      <c r="L266" s="6" t="s">
        <v>1</v>
      </c>
      <c r="M266" s="7" t="s">
        <v>27</v>
      </c>
      <c r="N266" s="6" t="s">
        <v>1</v>
      </c>
      <c r="O266" s="13" t="s">
        <v>1</v>
      </c>
      <c r="P266" s="6" t="s">
        <v>1</v>
      </c>
    </row>
    <row r="267" spans="1:16" x14ac:dyDescent="0.25">
      <c r="A267" s="7" t="s">
        <v>1232</v>
      </c>
      <c r="B267" s="6" t="s">
        <v>41</v>
      </c>
      <c r="C267" s="6" t="s">
        <v>648</v>
      </c>
      <c r="D267" s="6" t="s">
        <v>1096</v>
      </c>
      <c r="E267" s="7" t="s">
        <v>56</v>
      </c>
      <c r="F267" s="7" t="s">
        <v>50</v>
      </c>
      <c r="G267" s="6" t="s">
        <v>88</v>
      </c>
      <c r="H267" s="6" t="s">
        <v>1233</v>
      </c>
      <c r="I267" s="6" t="s">
        <v>88</v>
      </c>
      <c r="J267" s="6" t="s">
        <v>663</v>
      </c>
      <c r="K267" s="7" t="s">
        <v>85</v>
      </c>
      <c r="L267" s="6" t="s">
        <v>1</v>
      </c>
      <c r="M267" s="7" t="s">
        <v>27</v>
      </c>
      <c r="N267" s="6" t="s">
        <v>1</v>
      </c>
      <c r="O267" s="13" t="s">
        <v>1</v>
      </c>
      <c r="P267" s="6" t="s">
        <v>1</v>
      </c>
    </row>
    <row r="268" spans="1:16" x14ac:dyDescent="0.25">
      <c r="A268" s="7" t="s">
        <v>1234</v>
      </c>
      <c r="B268" s="6" t="s">
        <v>41</v>
      </c>
      <c r="C268" s="6" t="s">
        <v>1235</v>
      </c>
      <c r="D268" s="6" t="s">
        <v>1236</v>
      </c>
      <c r="E268" s="7" t="s">
        <v>56</v>
      </c>
      <c r="F268" s="7" t="s">
        <v>48</v>
      </c>
      <c r="G268" s="6" t="s">
        <v>1237</v>
      </c>
      <c r="H268" s="6" t="s">
        <v>1238</v>
      </c>
      <c r="I268" s="6" t="s">
        <v>88</v>
      </c>
      <c r="J268" s="6" t="s">
        <v>1239</v>
      </c>
      <c r="K268" s="7" t="s">
        <v>85</v>
      </c>
      <c r="L268" s="6" t="s">
        <v>1</v>
      </c>
      <c r="M268" s="7" t="s">
        <v>27</v>
      </c>
      <c r="N268" s="6" t="s">
        <v>1</v>
      </c>
      <c r="O268" s="13" t="s">
        <v>1</v>
      </c>
      <c r="P268" s="6" t="s">
        <v>1</v>
      </c>
    </row>
    <row r="269" spans="1:16" x14ac:dyDescent="0.25">
      <c r="A269" s="7" t="s">
        <v>1240</v>
      </c>
      <c r="B269" s="6" t="s">
        <v>41</v>
      </c>
      <c r="C269" s="6" t="s">
        <v>1241</v>
      </c>
      <c r="D269" s="6" t="s">
        <v>1242</v>
      </c>
      <c r="E269" s="7" t="s">
        <v>56</v>
      </c>
      <c r="F269" s="7" t="s">
        <v>49</v>
      </c>
      <c r="G269" s="6" t="s">
        <v>88</v>
      </c>
      <c r="H269" s="6" t="s">
        <v>842</v>
      </c>
      <c r="I269" s="6" t="s">
        <v>88</v>
      </c>
      <c r="J269" s="6" t="s">
        <v>1243</v>
      </c>
      <c r="K269" s="7" t="s">
        <v>85</v>
      </c>
      <c r="L269" s="6" t="s">
        <v>1</v>
      </c>
      <c r="M269" s="7" t="s">
        <v>27</v>
      </c>
      <c r="N269" s="6" t="s">
        <v>1</v>
      </c>
      <c r="O269" s="13" t="s">
        <v>1</v>
      </c>
      <c r="P269" s="6" t="s">
        <v>1</v>
      </c>
    </row>
    <row r="270" spans="1:16" x14ac:dyDescent="0.25">
      <c r="A270" s="7" t="s">
        <v>1244</v>
      </c>
      <c r="B270" s="6" t="s">
        <v>41</v>
      </c>
      <c r="C270" s="6" t="s">
        <v>31</v>
      </c>
      <c r="D270" s="6" t="s">
        <v>1245</v>
      </c>
      <c r="E270" s="7" t="s">
        <v>56</v>
      </c>
      <c r="F270" s="7" t="s">
        <v>50</v>
      </c>
      <c r="G270" s="6" t="s">
        <v>88</v>
      </c>
      <c r="H270" s="6" t="s">
        <v>163</v>
      </c>
      <c r="I270" s="6" t="s">
        <v>88</v>
      </c>
      <c r="J270" s="6" t="s">
        <v>1246</v>
      </c>
      <c r="K270" s="7" t="s">
        <v>85</v>
      </c>
      <c r="L270" s="6" t="s">
        <v>1</v>
      </c>
      <c r="M270" s="7" t="s">
        <v>27</v>
      </c>
      <c r="N270" s="6" t="s">
        <v>1</v>
      </c>
      <c r="O270" s="13" t="s">
        <v>1</v>
      </c>
      <c r="P270" s="6" t="s">
        <v>1</v>
      </c>
    </row>
    <row r="271" spans="1:16" x14ac:dyDescent="0.25">
      <c r="A271" s="7" t="s">
        <v>1247</v>
      </c>
      <c r="B271" s="6" t="s">
        <v>41</v>
      </c>
      <c r="C271" s="6" t="s">
        <v>1248</v>
      </c>
      <c r="D271" s="6" t="s">
        <v>1249</v>
      </c>
      <c r="E271" s="7" t="s">
        <v>43</v>
      </c>
      <c r="F271" s="7" t="s">
        <v>49</v>
      </c>
      <c r="G271" s="6" t="s">
        <v>88</v>
      </c>
      <c r="H271" s="6" t="s">
        <v>1250</v>
      </c>
      <c r="I271" s="6" t="s">
        <v>88</v>
      </c>
      <c r="J271" s="6" t="s">
        <v>1251</v>
      </c>
      <c r="K271" s="7" t="s">
        <v>102</v>
      </c>
      <c r="L271" s="6" t="s">
        <v>1</v>
      </c>
      <c r="M271" s="7" t="s">
        <v>27</v>
      </c>
      <c r="N271" s="6" t="s">
        <v>1</v>
      </c>
      <c r="O271" s="13" t="s">
        <v>1</v>
      </c>
      <c r="P271" s="6" t="s">
        <v>1</v>
      </c>
    </row>
    <row r="272" spans="1:16" x14ac:dyDescent="0.25">
      <c r="A272" s="7" t="s">
        <v>1252</v>
      </c>
      <c r="B272" s="6" t="s">
        <v>41</v>
      </c>
      <c r="C272" s="6" t="s">
        <v>273</v>
      </c>
      <c r="D272" s="6" t="s">
        <v>1253</v>
      </c>
      <c r="E272" s="7" t="s">
        <v>58</v>
      </c>
      <c r="F272" s="7" t="s">
        <v>51</v>
      </c>
      <c r="G272" s="6" t="s">
        <v>88</v>
      </c>
      <c r="H272" s="6" t="s">
        <v>1254</v>
      </c>
      <c r="I272" s="6" t="s">
        <v>88</v>
      </c>
      <c r="J272" s="6" t="s">
        <v>1255</v>
      </c>
      <c r="K272" s="7" t="s">
        <v>85</v>
      </c>
      <c r="L272" s="6" t="s">
        <v>1</v>
      </c>
      <c r="M272" s="7" t="s">
        <v>27</v>
      </c>
      <c r="N272" s="6" t="s">
        <v>1</v>
      </c>
      <c r="O272" s="13" t="s">
        <v>1</v>
      </c>
      <c r="P272" s="6" t="s">
        <v>1</v>
      </c>
    </row>
    <row r="273" spans="1:16" x14ac:dyDescent="0.25">
      <c r="A273" s="7" t="s">
        <v>1256</v>
      </c>
      <c r="B273" s="6" t="s">
        <v>42</v>
      </c>
      <c r="C273" s="6" t="s">
        <v>278</v>
      </c>
      <c r="D273" s="6" t="s">
        <v>1257</v>
      </c>
      <c r="E273" s="7" t="s">
        <v>61</v>
      </c>
      <c r="F273" s="7" t="s">
        <v>49</v>
      </c>
      <c r="G273" s="6" t="s">
        <v>1258</v>
      </c>
      <c r="H273" s="6" t="s">
        <v>1259</v>
      </c>
      <c r="I273" s="6" t="s">
        <v>88</v>
      </c>
      <c r="J273" s="6" t="s">
        <v>1260</v>
      </c>
      <c r="K273" s="7" t="s">
        <v>85</v>
      </c>
      <c r="L273" s="6" t="s">
        <v>1</v>
      </c>
      <c r="M273" s="7" t="s">
        <v>27</v>
      </c>
      <c r="N273" s="6" t="s">
        <v>1</v>
      </c>
      <c r="O273" s="13" t="s">
        <v>1</v>
      </c>
      <c r="P273" s="6" t="s">
        <v>1</v>
      </c>
    </row>
    <row r="274" spans="1:16" x14ac:dyDescent="0.25">
      <c r="A274" s="7" t="s">
        <v>1261</v>
      </c>
      <c r="B274" s="6" t="s">
        <v>42</v>
      </c>
      <c r="C274" s="6" t="s">
        <v>278</v>
      </c>
      <c r="D274" s="6" t="s">
        <v>1262</v>
      </c>
      <c r="E274" s="7" t="s">
        <v>61</v>
      </c>
      <c r="F274" s="7" t="s">
        <v>50</v>
      </c>
      <c r="G274" s="6" t="s">
        <v>269</v>
      </c>
      <c r="H274" s="6" t="s">
        <v>1263</v>
      </c>
      <c r="I274" s="6" t="s">
        <v>88</v>
      </c>
      <c r="J274" s="6" t="s">
        <v>1264</v>
      </c>
      <c r="K274" s="7" t="s">
        <v>85</v>
      </c>
      <c r="L274" s="6" t="s">
        <v>1</v>
      </c>
      <c r="M274" s="7" t="s">
        <v>27</v>
      </c>
      <c r="N274" s="6" t="s">
        <v>1</v>
      </c>
      <c r="O274" s="13" t="s">
        <v>1</v>
      </c>
      <c r="P274" s="6" t="s">
        <v>1</v>
      </c>
    </row>
    <row r="275" spans="1:16" x14ac:dyDescent="0.25">
      <c r="A275" s="7" t="s">
        <v>1265</v>
      </c>
      <c r="B275" s="6" t="s">
        <v>42</v>
      </c>
      <c r="C275" s="6" t="s">
        <v>278</v>
      </c>
      <c r="D275" s="6" t="s">
        <v>1266</v>
      </c>
      <c r="E275" s="7" t="s">
        <v>61</v>
      </c>
      <c r="F275" s="7" t="s">
        <v>51</v>
      </c>
      <c r="G275" s="6" t="s">
        <v>88</v>
      </c>
      <c r="H275" s="6" t="s">
        <v>1267</v>
      </c>
      <c r="I275" s="6" t="s">
        <v>88</v>
      </c>
      <c r="J275" s="6" t="s">
        <v>1268</v>
      </c>
      <c r="K275" s="7" t="s">
        <v>85</v>
      </c>
      <c r="L275" s="6" t="s">
        <v>1</v>
      </c>
      <c r="M275" s="7" t="s">
        <v>27</v>
      </c>
      <c r="N275" s="6" t="s">
        <v>1</v>
      </c>
      <c r="O275" s="13" t="s">
        <v>1</v>
      </c>
      <c r="P275" s="6" t="s">
        <v>1</v>
      </c>
    </row>
    <row r="276" spans="1:16" x14ac:dyDescent="0.25">
      <c r="A276" s="7" t="s">
        <v>1269</v>
      </c>
      <c r="B276" s="6" t="s">
        <v>42</v>
      </c>
      <c r="C276" s="6" t="s">
        <v>278</v>
      </c>
      <c r="D276" s="6" t="s">
        <v>1270</v>
      </c>
      <c r="E276" s="7" t="s">
        <v>61</v>
      </c>
      <c r="F276" s="7" t="s">
        <v>50</v>
      </c>
      <c r="G276" s="6" t="s">
        <v>88</v>
      </c>
      <c r="H276" s="6" t="s">
        <v>1271</v>
      </c>
      <c r="I276" s="6" t="s">
        <v>88</v>
      </c>
      <c r="J276" s="6" t="s">
        <v>1272</v>
      </c>
      <c r="K276" s="7" t="s">
        <v>85</v>
      </c>
      <c r="L276" s="6" t="s">
        <v>1</v>
      </c>
      <c r="M276" s="7" t="s">
        <v>27</v>
      </c>
      <c r="N276" s="6" t="s">
        <v>1</v>
      </c>
      <c r="O276" s="13" t="s">
        <v>1</v>
      </c>
      <c r="P276" s="6" t="s">
        <v>1</v>
      </c>
    </row>
    <row r="277" spans="1:16" x14ac:dyDescent="0.25">
      <c r="A277" s="7" t="s">
        <v>1273</v>
      </c>
      <c r="B277" s="6" t="s">
        <v>42</v>
      </c>
      <c r="C277" s="6" t="s">
        <v>278</v>
      </c>
      <c r="D277" s="6" t="s">
        <v>1274</v>
      </c>
      <c r="E277" s="7" t="s">
        <v>61</v>
      </c>
      <c r="F277" s="7" t="s">
        <v>51</v>
      </c>
      <c r="G277" s="6" t="s">
        <v>1275</v>
      </c>
      <c r="H277" s="6" t="s">
        <v>1276</v>
      </c>
      <c r="I277" s="6" t="s">
        <v>88</v>
      </c>
      <c r="J277" s="6" t="s">
        <v>1277</v>
      </c>
      <c r="K277" s="7" t="s">
        <v>85</v>
      </c>
      <c r="L277" s="6" t="s">
        <v>1</v>
      </c>
      <c r="M277" s="7" t="s">
        <v>27</v>
      </c>
      <c r="N277" s="6" t="s">
        <v>1</v>
      </c>
      <c r="O277" s="13" t="s">
        <v>1</v>
      </c>
      <c r="P277" s="6" t="s">
        <v>1</v>
      </c>
    </row>
    <row r="278" spans="1:16" x14ac:dyDescent="0.25">
      <c r="A278" s="7" t="s">
        <v>1278</v>
      </c>
      <c r="B278" s="6" t="s">
        <v>42</v>
      </c>
      <c r="C278" s="6" t="s">
        <v>60</v>
      </c>
      <c r="D278" s="6" t="s">
        <v>1279</v>
      </c>
      <c r="E278" s="7" t="s">
        <v>60</v>
      </c>
      <c r="F278" s="7" t="s">
        <v>48</v>
      </c>
      <c r="G278" s="6" t="s">
        <v>1280</v>
      </c>
      <c r="H278" s="6" t="s">
        <v>1281</v>
      </c>
      <c r="I278" s="6" t="s">
        <v>1282</v>
      </c>
      <c r="J278" s="6" t="s">
        <v>1283</v>
      </c>
      <c r="K278" s="7" t="s">
        <v>85</v>
      </c>
      <c r="L278" s="6" t="s">
        <v>1</v>
      </c>
      <c r="M278" s="7" t="s">
        <v>27</v>
      </c>
      <c r="N278" s="6" t="s">
        <v>1</v>
      </c>
      <c r="O278" s="13" t="s">
        <v>1</v>
      </c>
      <c r="P278" s="6" t="s">
        <v>1</v>
      </c>
    </row>
    <row r="279" spans="1:16" x14ac:dyDescent="0.25">
      <c r="A279" s="7" t="s">
        <v>1284</v>
      </c>
      <c r="B279" s="6" t="s">
        <v>42</v>
      </c>
      <c r="C279" s="6" t="s">
        <v>60</v>
      </c>
      <c r="D279" s="6" t="s">
        <v>1285</v>
      </c>
      <c r="E279" s="7" t="s">
        <v>60</v>
      </c>
      <c r="F279" s="7" t="s">
        <v>49</v>
      </c>
      <c r="G279" s="6" t="s">
        <v>1286</v>
      </c>
      <c r="H279" s="6" t="s">
        <v>1281</v>
      </c>
      <c r="I279" s="6" t="s">
        <v>1287</v>
      </c>
      <c r="J279" s="6" t="s">
        <v>1288</v>
      </c>
      <c r="K279" s="7" t="s">
        <v>85</v>
      </c>
      <c r="L279" s="6" t="s">
        <v>1</v>
      </c>
      <c r="M279" s="7" t="s">
        <v>27</v>
      </c>
      <c r="N279" s="6" t="s">
        <v>1</v>
      </c>
      <c r="O279" s="13" t="s">
        <v>1</v>
      </c>
      <c r="P279" s="6" t="s">
        <v>1</v>
      </c>
    </row>
    <row r="280" spans="1:16" x14ac:dyDescent="0.25">
      <c r="A280" s="7" t="s">
        <v>1289</v>
      </c>
      <c r="B280" s="6" t="s">
        <v>42</v>
      </c>
      <c r="C280" s="6" t="s">
        <v>60</v>
      </c>
      <c r="D280" s="6" t="s">
        <v>1290</v>
      </c>
      <c r="E280" s="7" t="s">
        <v>60</v>
      </c>
      <c r="F280" s="7" t="s">
        <v>49</v>
      </c>
      <c r="G280" s="6" t="s">
        <v>1291</v>
      </c>
      <c r="H280" s="6" t="s">
        <v>1281</v>
      </c>
      <c r="I280" s="6" t="s">
        <v>1292</v>
      </c>
      <c r="J280" s="6" t="s">
        <v>1293</v>
      </c>
      <c r="K280" s="7" t="s">
        <v>85</v>
      </c>
      <c r="L280" s="6" t="s">
        <v>1</v>
      </c>
      <c r="M280" s="7" t="s">
        <v>27</v>
      </c>
      <c r="N280" s="6" t="s">
        <v>1</v>
      </c>
      <c r="O280" s="13" t="s">
        <v>1</v>
      </c>
      <c r="P280" s="6" t="s">
        <v>1</v>
      </c>
    </row>
    <row r="281" spans="1:16" x14ac:dyDescent="0.25">
      <c r="A281" s="7" t="s">
        <v>1294</v>
      </c>
      <c r="B281" s="6" t="s">
        <v>42</v>
      </c>
      <c r="C281" s="6" t="s">
        <v>60</v>
      </c>
      <c r="D281" s="6" t="s">
        <v>1295</v>
      </c>
      <c r="E281" s="7" t="s">
        <v>60</v>
      </c>
      <c r="F281" s="7" t="s">
        <v>49</v>
      </c>
      <c r="G281" s="6" t="s">
        <v>1296</v>
      </c>
      <c r="H281" s="6" t="s">
        <v>1281</v>
      </c>
      <c r="I281" s="6" t="s">
        <v>1297</v>
      </c>
      <c r="J281" s="6" t="s">
        <v>1293</v>
      </c>
      <c r="K281" s="7" t="s">
        <v>85</v>
      </c>
      <c r="L281" s="6" t="s">
        <v>1</v>
      </c>
      <c r="M281" s="7" t="s">
        <v>27</v>
      </c>
      <c r="N281" s="6" t="s">
        <v>1</v>
      </c>
      <c r="O281" s="13" t="s">
        <v>1</v>
      </c>
      <c r="P281" s="6" t="s">
        <v>1</v>
      </c>
    </row>
    <row r="282" spans="1:16" x14ac:dyDescent="0.25">
      <c r="A282" s="7" t="s">
        <v>1298</v>
      </c>
      <c r="B282" s="6" t="s">
        <v>42</v>
      </c>
      <c r="C282" s="6" t="s">
        <v>60</v>
      </c>
      <c r="D282" s="6" t="s">
        <v>1299</v>
      </c>
      <c r="E282" s="7" t="s">
        <v>60</v>
      </c>
      <c r="F282" s="7" t="s">
        <v>48</v>
      </c>
      <c r="G282" s="6" t="s">
        <v>1280</v>
      </c>
      <c r="H282" s="6" t="s">
        <v>1300</v>
      </c>
      <c r="I282" s="6" t="s">
        <v>1282</v>
      </c>
      <c r="J282" s="6" t="s">
        <v>1283</v>
      </c>
      <c r="K282" s="7" t="s">
        <v>85</v>
      </c>
      <c r="L282" s="6" t="s">
        <v>1</v>
      </c>
      <c r="M282" s="7" t="s">
        <v>27</v>
      </c>
      <c r="N282" s="6" t="s">
        <v>1</v>
      </c>
      <c r="O282" s="13" t="s">
        <v>1</v>
      </c>
      <c r="P282" s="6" t="s">
        <v>1</v>
      </c>
    </row>
    <row r="283" spans="1:16" x14ac:dyDescent="0.25">
      <c r="A283" s="7" t="s">
        <v>1301</v>
      </c>
      <c r="B283" s="6" t="s">
        <v>42</v>
      </c>
      <c r="C283" s="6" t="s">
        <v>60</v>
      </c>
      <c r="D283" s="6" t="s">
        <v>1302</v>
      </c>
      <c r="E283" s="7" t="s">
        <v>60</v>
      </c>
      <c r="F283" s="7" t="s">
        <v>49</v>
      </c>
      <c r="G283" s="6" t="s">
        <v>1286</v>
      </c>
      <c r="H283" s="6" t="s">
        <v>1300</v>
      </c>
      <c r="I283" s="6" t="s">
        <v>1287</v>
      </c>
      <c r="J283" s="6" t="s">
        <v>1288</v>
      </c>
      <c r="K283" s="7" t="s">
        <v>85</v>
      </c>
      <c r="L283" s="6" t="s">
        <v>1</v>
      </c>
      <c r="M283" s="7" t="s">
        <v>27</v>
      </c>
      <c r="N283" s="6" t="s">
        <v>1</v>
      </c>
      <c r="O283" s="13" t="s">
        <v>1</v>
      </c>
      <c r="P283" s="6" t="s">
        <v>1</v>
      </c>
    </row>
    <row r="284" spans="1:16" x14ac:dyDescent="0.25">
      <c r="A284" s="7" t="s">
        <v>1303</v>
      </c>
      <c r="B284" s="6" t="s">
        <v>42</v>
      </c>
      <c r="C284" s="6" t="s">
        <v>60</v>
      </c>
      <c r="D284" s="6" t="s">
        <v>1304</v>
      </c>
      <c r="E284" s="7" t="s">
        <v>60</v>
      </c>
      <c r="F284" s="7" t="s">
        <v>49</v>
      </c>
      <c r="G284" s="6" t="s">
        <v>1291</v>
      </c>
      <c r="H284" s="6" t="s">
        <v>1300</v>
      </c>
      <c r="I284" s="6" t="s">
        <v>1292</v>
      </c>
      <c r="J284" s="6" t="s">
        <v>1293</v>
      </c>
      <c r="K284" s="7" t="s">
        <v>85</v>
      </c>
      <c r="L284" s="6" t="s">
        <v>1</v>
      </c>
      <c r="M284" s="7" t="s">
        <v>27</v>
      </c>
      <c r="N284" s="6" t="s">
        <v>1</v>
      </c>
      <c r="O284" s="13" t="s">
        <v>1</v>
      </c>
      <c r="P284" s="6" t="s">
        <v>1</v>
      </c>
    </row>
    <row r="285" spans="1:16" x14ac:dyDescent="0.25">
      <c r="A285" s="7" t="s">
        <v>1305</v>
      </c>
      <c r="B285" s="6" t="s">
        <v>42</v>
      </c>
      <c r="C285" s="6" t="s">
        <v>60</v>
      </c>
      <c r="D285" s="6" t="s">
        <v>1306</v>
      </c>
      <c r="E285" s="7" t="s">
        <v>60</v>
      </c>
      <c r="F285" s="7" t="s">
        <v>49</v>
      </c>
      <c r="G285" s="6" t="s">
        <v>1296</v>
      </c>
      <c r="H285" s="6" t="s">
        <v>1300</v>
      </c>
      <c r="I285" s="6" t="s">
        <v>1297</v>
      </c>
      <c r="J285" s="6" t="s">
        <v>1293</v>
      </c>
      <c r="K285" s="7" t="s">
        <v>85</v>
      </c>
      <c r="L285" s="6" t="s">
        <v>1</v>
      </c>
      <c r="M285" s="7" t="s">
        <v>27</v>
      </c>
      <c r="N285" s="6" t="s">
        <v>1</v>
      </c>
      <c r="O285" s="13" t="s">
        <v>1</v>
      </c>
      <c r="P285" s="6" t="s">
        <v>1</v>
      </c>
    </row>
    <row r="286" spans="1:16" x14ac:dyDescent="0.25">
      <c r="A286" s="7" t="s">
        <v>1307</v>
      </c>
      <c r="B286" s="6" t="s">
        <v>42</v>
      </c>
      <c r="C286" s="6" t="s">
        <v>60</v>
      </c>
      <c r="D286" s="6" t="s">
        <v>1308</v>
      </c>
      <c r="E286" s="7" t="s">
        <v>60</v>
      </c>
      <c r="F286" s="7" t="s">
        <v>48</v>
      </c>
      <c r="G286" s="6" t="s">
        <v>1280</v>
      </c>
      <c r="H286" s="6" t="s">
        <v>1309</v>
      </c>
      <c r="I286" s="6" t="s">
        <v>1282</v>
      </c>
      <c r="J286" s="6" t="s">
        <v>1283</v>
      </c>
      <c r="K286" s="7" t="s">
        <v>85</v>
      </c>
      <c r="L286" s="6" t="s">
        <v>1</v>
      </c>
      <c r="M286" s="7" t="s">
        <v>27</v>
      </c>
      <c r="N286" s="6" t="s">
        <v>1</v>
      </c>
      <c r="O286" s="13" t="s">
        <v>1</v>
      </c>
      <c r="P286" s="6" t="s">
        <v>1</v>
      </c>
    </row>
    <row r="287" spans="1:16" x14ac:dyDescent="0.25">
      <c r="A287" s="7" t="s">
        <v>1310</v>
      </c>
      <c r="B287" s="6" t="s">
        <v>42</v>
      </c>
      <c r="C287" s="6" t="s">
        <v>60</v>
      </c>
      <c r="D287" s="6" t="s">
        <v>1311</v>
      </c>
      <c r="E287" s="7" t="s">
        <v>60</v>
      </c>
      <c r="F287" s="7" t="s">
        <v>49</v>
      </c>
      <c r="G287" s="6" t="s">
        <v>1286</v>
      </c>
      <c r="H287" s="6" t="s">
        <v>1309</v>
      </c>
      <c r="I287" s="6" t="s">
        <v>1287</v>
      </c>
      <c r="J287" s="6" t="s">
        <v>1288</v>
      </c>
      <c r="K287" s="7" t="s">
        <v>85</v>
      </c>
      <c r="L287" s="6" t="s">
        <v>1</v>
      </c>
      <c r="M287" s="7" t="s">
        <v>27</v>
      </c>
      <c r="N287" s="6" t="s">
        <v>1</v>
      </c>
      <c r="O287" s="13" t="s">
        <v>1</v>
      </c>
      <c r="P287" s="6" t="s">
        <v>1</v>
      </c>
    </row>
    <row r="288" spans="1:16" x14ac:dyDescent="0.25">
      <c r="A288" s="7" t="s">
        <v>1312</v>
      </c>
      <c r="B288" s="6" t="s">
        <v>42</v>
      </c>
      <c r="C288" s="6" t="s">
        <v>60</v>
      </c>
      <c r="D288" s="6" t="s">
        <v>1313</v>
      </c>
      <c r="E288" s="7" t="s">
        <v>60</v>
      </c>
      <c r="F288" s="7" t="s">
        <v>49</v>
      </c>
      <c r="G288" s="6" t="s">
        <v>1291</v>
      </c>
      <c r="H288" s="6" t="s">
        <v>1309</v>
      </c>
      <c r="I288" s="6" t="s">
        <v>1292</v>
      </c>
      <c r="J288" s="6" t="s">
        <v>1293</v>
      </c>
      <c r="K288" s="7" t="s">
        <v>85</v>
      </c>
      <c r="L288" s="6" t="s">
        <v>1</v>
      </c>
      <c r="M288" s="7" t="s">
        <v>27</v>
      </c>
      <c r="N288" s="6" t="s">
        <v>1</v>
      </c>
      <c r="O288" s="13" t="s">
        <v>1</v>
      </c>
      <c r="P288" s="6" t="s">
        <v>1</v>
      </c>
    </row>
    <row r="289" spans="1:16" x14ac:dyDescent="0.25">
      <c r="A289" s="7" t="s">
        <v>1314</v>
      </c>
      <c r="B289" s="6" t="s">
        <v>42</v>
      </c>
      <c r="C289" s="6" t="s">
        <v>60</v>
      </c>
      <c r="D289" s="6" t="s">
        <v>1315</v>
      </c>
      <c r="E289" s="7" t="s">
        <v>60</v>
      </c>
      <c r="F289" s="7" t="s">
        <v>49</v>
      </c>
      <c r="G289" s="6" t="s">
        <v>1296</v>
      </c>
      <c r="H289" s="6" t="s">
        <v>1309</v>
      </c>
      <c r="I289" s="6" t="s">
        <v>1297</v>
      </c>
      <c r="J289" s="6" t="s">
        <v>1293</v>
      </c>
      <c r="K289" s="7" t="s">
        <v>85</v>
      </c>
      <c r="L289" s="6" t="s">
        <v>1</v>
      </c>
      <c r="M289" s="7" t="s">
        <v>27</v>
      </c>
      <c r="N289" s="6" t="s">
        <v>1</v>
      </c>
      <c r="O289" s="13" t="s">
        <v>1</v>
      </c>
      <c r="P289" s="6" t="s">
        <v>1</v>
      </c>
    </row>
    <row r="290" spans="1:16" x14ac:dyDescent="0.25">
      <c r="A290" s="7" t="s">
        <v>1316</v>
      </c>
      <c r="B290" s="6" t="s">
        <v>42</v>
      </c>
      <c r="C290" s="6" t="s">
        <v>60</v>
      </c>
      <c r="D290" s="6" t="s">
        <v>1317</v>
      </c>
      <c r="E290" s="7" t="s">
        <v>60</v>
      </c>
      <c r="F290" s="7" t="s">
        <v>48</v>
      </c>
      <c r="G290" s="6" t="s">
        <v>1280</v>
      </c>
      <c r="H290" s="6" t="s">
        <v>1318</v>
      </c>
      <c r="I290" s="6" t="s">
        <v>1282</v>
      </c>
      <c r="J290" s="6" t="s">
        <v>1283</v>
      </c>
      <c r="K290" s="7" t="s">
        <v>85</v>
      </c>
      <c r="L290" s="6" t="s">
        <v>1</v>
      </c>
      <c r="M290" s="7" t="s">
        <v>27</v>
      </c>
      <c r="N290" s="6" t="s">
        <v>1</v>
      </c>
      <c r="O290" s="13" t="s">
        <v>1</v>
      </c>
      <c r="P290" s="6" t="s">
        <v>1</v>
      </c>
    </row>
    <row r="291" spans="1:16" x14ac:dyDescent="0.25">
      <c r="A291" s="7" t="s">
        <v>1319</v>
      </c>
      <c r="B291" s="6" t="s">
        <v>42</v>
      </c>
      <c r="C291" s="6" t="s">
        <v>60</v>
      </c>
      <c r="D291" s="6" t="s">
        <v>1320</v>
      </c>
      <c r="E291" s="7" t="s">
        <v>60</v>
      </c>
      <c r="F291" s="7" t="s">
        <v>49</v>
      </c>
      <c r="G291" s="6" t="s">
        <v>1286</v>
      </c>
      <c r="H291" s="6" t="s">
        <v>1318</v>
      </c>
      <c r="I291" s="6" t="s">
        <v>1287</v>
      </c>
      <c r="J291" s="6" t="s">
        <v>1288</v>
      </c>
      <c r="K291" s="7" t="s">
        <v>85</v>
      </c>
      <c r="L291" s="6" t="s">
        <v>1</v>
      </c>
      <c r="M291" s="7" t="s">
        <v>27</v>
      </c>
      <c r="N291" s="6" t="s">
        <v>1</v>
      </c>
      <c r="O291" s="13" t="s">
        <v>1</v>
      </c>
      <c r="P291" s="6" t="s">
        <v>1</v>
      </c>
    </row>
    <row r="292" spans="1:16" x14ac:dyDescent="0.25">
      <c r="A292" s="7" t="s">
        <v>1321</v>
      </c>
      <c r="B292" s="6" t="s">
        <v>42</v>
      </c>
      <c r="C292" s="6" t="s">
        <v>60</v>
      </c>
      <c r="D292" s="6" t="s">
        <v>1322</v>
      </c>
      <c r="E292" s="7" t="s">
        <v>60</v>
      </c>
      <c r="F292" s="7" t="s">
        <v>49</v>
      </c>
      <c r="G292" s="6" t="s">
        <v>1291</v>
      </c>
      <c r="H292" s="6" t="s">
        <v>1318</v>
      </c>
      <c r="I292" s="6" t="s">
        <v>1292</v>
      </c>
      <c r="J292" s="6" t="s">
        <v>1293</v>
      </c>
      <c r="K292" s="7" t="s">
        <v>85</v>
      </c>
      <c r="L292" s="6" t="s">
        <v>1</v>
      </c>
      <c r="M292" s="7" t="s">
        <v>27</v>
      </c>
      <c r="N292" s="6" t="s">
        <v>1</v>
      </c>
      <c r="O292" s="13" t="s">
        <v>1</v>
      </c>
      <c r="P292" s="6" t="s">
        <v>1</v>
      </c>
    </row>
    <row r="293" spans="1:16" x14ac:dyDescent="0.25">
      <c r="A293" s="7" t="s">
        <v>1323</v>
      </c>
      <c r="B293" s="6" t="s">
        <v>42</v>
      </c>
      <c r="C293" s="6" t="s">
        <v>60</v>
      </c>
      <c r="D293" s="6" t="s">
        <v>1324</v>
      </c>
      <c r="E293" s="7" t="s">
        <v>60</v>
      </c>
      <c r="F293" s="7" t="s">
        <v>49</v>
      </c>
      <c r="G293" s="6" t="s">
        <v>1296</v>
      </c>
      <c r="H293" s="6" t="s">
        <v>1318</v>
      </c>
      <c r="I293" s="6" t="s">
        <v>1297</v>
      </c>
      <c r="J293" s="6" t="s">
        <v>1293</v>
      </c>
      <c r="K293" s="7" t="s">
        <v>85</v>
      </c>
      <c r="L293" s="6" t="s">
        <v>1</v>
      </c>
      <c r="M293" s="7" t="s">
        <v>27</v>
      </c>
      <c r="N293" s="6" t="s">
        <v>1</v>
      </c>
      <c r="O293" s="13" t="s">
        <v>1</v>
      </c>
      <c r="P293" s="6" t="s">
        <v>1</v>
      </c>
    </row>
    <row r="294" spans="1:16" x14ac:dyDescent="0.25">
      <c r="A294" s="7" t="s">
        <v>1325</v>
      </c>
      <c r="B294" s="6" t="s">
        <v>42</v>
      </c>
      <c r="C294" s="6" t="s">
        <v>60</v>
      </c>
      <c r="D294" s="6" t="s">
        <v>1326</v>
      </c>
      <c r="E294" s="7" t="s">
        <v>60</v>
      </c>
      <c r="F294" s="7" t="s">
        <v>48</v>
      </c>
      <c r="G294" s="6" t="s">
        <v>1280</v>
      </c>
      <c r="H294" s="6" t="s">
        <v>1327</v>
      </c>
      <c r="I294" s="6" t="s">
        <v>1282</v>
      </c>
      <c r="J294" s="6" t="s">
        <v>1283</v>
      </c>
      <c r="K294" s="7" t="s">
        <v>85</v>
      </c>
      <c r="L294" s="6" t="s">
        <v>1</v>
      </c>
      <c r="M294" s="7" t="s">
        <v>27</v>
      </c>
      <c r="N294" s="6" t="s">
        <v>1</v>
      </c>
      <c r="O294" s="13" t="s">
        <v>1</v>
      </c>
      <c r="P294" s="6" t="s">
        <v>1</v>
      </c>
    </row>
    <row r="295" spans="1:16" x14ac:dyDescent="0.25">
      <c r="A295" s="7" t="s">
        <v>1328</v>
      </c>
      <c r="B295" s="6" t="s">
        <v>42</v>
      </c>
      <c r="C295" s="6" t="s">
        <v>60</v>
      </c>
      <c r="D295" s="6" t="s">
        <v>1329</v>
      </c>
      <c r="E295" s="7" t="s">
        <v>60</v>
      </c>
      <c r="F295" s="7" t="s">
        <v>49</v>
      </c>
      <c r="G295" s="6" t="s">
        <v>1286</v>
      </c>
      <c r="H295" s="6" t="s">
        <v>1327</v>
      </c>
      <c r="I295" s="6" t="s">
        <v>1287</v>
      </c>
      <c r="J295" s="6" t="s">
        <v>1288</v>
      </c>
      <c r="K295" s="7" t="s">
        <v>85</v>
      </c>
      <c r="L295" s="6" t="s">
        <v>1</v>
      </c>
      <c r="M295" s="7" t="s">
        <v>27</v>
      </c>
      <c r="N295" s="6" t="s">
        <v>1</v>
      </c>
      <c r="O295" s="13" t="s">
        <v>1</v>
      </c>
      <c r="P295" s="6" t="s">
        <v>1</v>
      </c>
    </row>
    <row r="296" spans="1:16" x14ac:dyDescent="0.25">
      <c r="A296" s="7" t="s">
        <v>1330</v>
      </c>
      <c r="B296" s="6" t="s">
        <v>42</v>
      </c>
      <c r="C296" s="6" t="s">
        <v>60</v>
      </c>
      <c r="D296" s="6" t="s">
        <v>1331</v>
      </c>
      <c r="E296" s="7" t="s">
        <v>60</v>
      </c>
      <c r="F296" s="7" t="s">
        <v>49</v>
      </c>
      <c r="G296" s="6" t="s">
        <v>1291</v>
      </c>
      <c r="H296" s="6" t="s">
        <v>1327</v>
      </c>
      <c r="I296" s="6" t="s">
        <v>1292</v>
      </c>
      <c r="J296" s="6" t="s">
        <v>1293</v>
      </c>
      <c r="K296" s="7" t="s">
        <v>85</v>
      </c>
      <c r="L296" s="6" t="s">
        <v>1</v>
      </c>
      <c r="M296" s="7" t="s">
        <v>27</v>
      </c>
      <c r="N296" s="6" t="s">
        <v>1</v>
      </c>
      <c r="O296" s="13" t="s">
        <v>1</v>
      </c>
      <c r="P296" s="6" t="s">
        <v>1</v>
      </c>
    </row>
    <row r="297" spans="1:16" x14ac:dyDescent="0.25">
      <c r="A297" s="7" t="s">
        <v>1332</v>
      </c>
      <c r="B297" s="6" t="s">
        <v>42</v>
      </c>
      <c r="C297" s="6" t="s">
        <v>60</v>
      </c>
      <c r="D297" s="6" t="s">
        <v>1333</v>
      </c>
      <c r="E297" s="7" t="s">
        <v>60</v>
      </c>
      <c r="F297" s="7" t="s">
        <v>49</v>
      </c>
      <c r="G297" s="6" t="s">
        <v>1296</v>
      </c>
      <c r="H297" s="6" t="s">
        <v>1327</v>
      </c>
      <c r="I297" s="6" t="s">
        <v>1297</v>
      </c>
      <c r="J297" s="6" t="s">
        <v>1293</v>
      </c>
      <c r="K297" s="7" t="s">
        <v>85</v>
      </c>
      <c r="L297" s="6" t="s">
        <v>1</v>
      </c>
      <c r="M297" s="7" t="s">
        <v>27</v>
      </c>
      <c r="N297" s="6" t="s">
        <v>1</v>
      </c>
      <c r="O297" s="13" t="s">
        <v>1</v>
      </c>
      <c r="P297" s="6" t="s">
        <v>1</v>
      </c>
    </row>
    <row r="298" spans="1:16" x14ac:dyDescent="0.25">
      <c r="A298" s="7" t="s">
        <v>1334</v>
      </c>
      <c r="B298" s="6" t="s">
        <v>42</v>
      </c>
      <c r="C298" s="6" t="s">
        <v>60</v>
      </c>
      <c r="D298" s="6" t="s">
        <v>1335</v>
      </c>
      <c r="E298" s="7" t="s">
        <v>60</v>
      </c>
      <c r="F298" s="7" t="s">
        <v>48</v>
      </c>
      <c r="G298" s="6" t="s">
        <v>1280</v>
      </c>
      <c r="H298" s="6" t="s">
        <v>1336</v>
      </c>
      <c r="I298" s="6" t="s">
        <v>1282</v>
      </c>
      <c r="J298" s="6" t="s">
        <v>1283</v>
      </c>
      <c r="K298" s="7" t="s">
        <v>85</v>
      </c>
      <c r="L298" s="6" t="s">
        <v>1</v>
      </c>
      <c r="M298" s="7" t="s">
        <v>27</v>
      </c>
      <c r="N298" s="6" t="s">
        <v>1</v>
      </c>
      <c r="O298" s="13" t="s">
        <v>1</v>
      </c>
      <c r="P298" s="6" t="s">
        <v>1</v>
      </c>
    </row>
    <row r="299" spans="1:16" x14ac:dyDescent="0.25">
      <c r="A299" s="7" t="s">
        <v>1337</v>
      </c>
      <c r="B299" s="6" t="s">
        <v>42</v>
      </c>
      <c r="C299" s="6" t="s">
        <v>60</v>
      </c>
      <c r="D299" s="6" t="s">
        <v>1338</v>
      </c>
      <c r="E299" s="7" t="s">
        <v>60</v>
      </c>
      <c r="F299" s="7" t="s">
        <v>49</v>
      </c>
      <c r="G299" s="6" t="s">
        <v>1286</v>
      </c>
      <c r="H299" s="6" t="s">
        <v>1336</v>
      </c>
      <c r="I299" s="6" t="s">
        <v>1287</v>
      </c>
      <c r="J299" s="6" t="s">
        <v>1288</v>
      </c>
      <c r="K299" s="7" t="s">
        <v>85</v>
      </c>
      <c r="L299" s="6" t="s">
        <v>1</v>
      </c>
      <c r="M299" s="7" t="s">
        <v>27</v>
      </c>
      <c r="N299" s="6" t="s">
        <v>1</v>
      </c>
      <c r="O299" s="13" t="s">
        <v>1</v>
      </c>
      <c r="P299" s="6" t="s">
        <v>1</v>
      </c>
    </row>
    <row r="300" spans="1:16" x14ac:dyDescent="0.25">
      <c r="A300" s="7" t="s">
        <v>1339</v>
      </c>
      <c r="B300" s="6" t="s">
        <v>42</v>
      </c>
      <c r="C300" s="6" t="s">
        <v>60</v>
      </c>
      <c r="D300" s="6" t="s">
        <v>1340</v>
      </c>
      <c r="E300" s="7" t="s">
        <v>60</v>
      </c>
      <c r="F300" s="7" t="s">
        <v>49</v>
      </c>
      <c r="G300" s="6" t="s">
        <v>1291</v>
      </c>
      <c r="H300" s="6" t="s">
        <v>1336</v>
      </c>
      <c r="I300" s="6" t="s">
        <v>1292</v>
      </c>
      <c r="J300" s="6" t="s">
        <v>1293</v>
      </c>
      <c r="K300" s="7" t="s">
        <v>85</v>
      </c>
      <c r="L300" s="6" t="s">
        <v>1</v>
      </c>
      <c r="M300" s="7" t="s">
        <v>27</v>
      </c>
      <c r="N300" s="6" t="s">
        <v>1</v>
      </c>
      <c r="O300" s="13" t="s">
        <v>1</v>
      </c>
      <c r="P300" s="6" t="s">
        <v>1</v>
      </c>
    </row>
    <row r="301" spans="1:16" x14ac:dyDescent="0.25">
      <c r="A301" s="7" t="s">
        <v>1341</v>
      </c>
      <c r="B301" s="6" t="s">
        <v>42</v>
      </c>
      <c r="C301" s="6" t="s">
        <v>60</v>
      </c>
      <c r="D301" s="6" t="s">
        <v>1342</v>
      </c>
      <c r="E301" s="7" t="s">
        <v>60</v>
      </c>
      <c r="F301" s="7" t="s">
        <v>49</v>
      </c>
      <c r="G301" s="6" t="s">
        <v>1296</v>
      </c>
      <c r="H301" s="6" t="s">
        <v>1336</v>
      </c>
      <c r="I301" s="6" t="s">
        <v>1297</v>
      </c>
      <c r="J301" s="6" t="s">
        <v>1293</v>
      </c>
      <c r="K301" s="7" t="s">
        <v>85</v>
      </c>
      <c r="L301" s="6" t="s">
        <v>1</v>
      </c>
      <c r="M301" s="7" t="s">
        <v>27</v>
      </c>
      <c r="N301" s="6" t="s">
        <v>1</v>
      </c>
      <c r="O301" s="13" t="s">
        <v>1</v>
      </c>
      <c r="P301" s="6" t="s">
        <v>1</v>
      </c>
    </row>
    <row r="302" spans="1:16" x14ac:dyDescent="0.25">
      <c r="A302" s="7" t="s">
        <v>1343</v>
      </c>
      <c r="B302" s="6" t="s">
        <v>42</v>
      </c>
      <c r="C302" s="6" t="s">
        <v>60</v>
      </c>
      <c r="D302" s="6" t="s">
        <v>1344</v>
      </c>
      <c r="E302" s="7" t="s">
        <v>60</v>
      </c>
      <c r="F302" s="7" t="s">
        <v>48</v>
      </c>
      <c r="G302" s="6" t="s">
        <v>1280</v>
      </c>
      <c r="H302" s="6" t="s">
        <v>1345</v>
      </c>
      <c r="I302" s="6" t="s">
        <v>1282</v>
      </c>
      <c r="J302" s="6" t="s">
        <v>1283</v>
      </c>
      <c r="K302" s="7" t="s">
        <v>85</v>
      </c>
      <c r="L302" s="6" t="s">
        <v>1</v>
      </c>
      <c r="M302" s="7" t="s">
        <v>27</v>
      </c>
      <c r="N302" s="6" t="s">
        <v>1</v>
      </c>
      <c r="O302" s="13" t="s">
        <v>1</v>
      </c>
      <c r="P302" s="6" t="s">
        <v>1</v>
      </c>
    </row>
    <row r="303" spans="1:16" x14ac:dyDescent="0.25">
      <c r="A303" s="7" t="s">
        <v>1346</v>
      </c>
      <c r="B303" s="6" t="s">
        <v>42</v>
      </c>
      <c r="C303" s="6" t="s">
        <v>60</v>
      </c>
      <c r="D303" s="6" t="s">
        <v>1347</v>
      </c>
      <c r="E303" s="7" t="s">
        <v>60</v>
      </c>
      <c r="F303" s="7" t="s">
        <v>49</v>
      </c>
      <c r="G303" s="6" t="s">
        <v>1286</v>
      </c>
      <c r="H303" s="6" t="s">
        <v>1345</v>
      </c>
      <c r="I303" s="6" t="s">
        <v>1287</v>
      </c>
      <c r="J303" s="6" t="s">
        <v>1288</v>
      </c>
      <c r="K303" s="7" t="s">
        <v>85</v>
      </c>
      <c r="L303" s="6" t="s">
        <v>1</v>
      </c>
      <c r="M303" s="7" t="s">
        <v>27</v>
      </c>
      <c r="N303" s="6" t="s">
        <v>1</v>
      </c>
      <c r="O303" s="13" t="s">
        <v>1</v>
      </c>
      <c r="P303" s="6" t="s">
        <v>1</v>
      </c>
    </row>
    <row r="304" spans="1:16" x14ac:dyDescent="0.25">
      <c r="A304" s="7" t="s">
        <v>1348</v>
      </c>
      <c r="B304" s="6" t="s">
        <v>42</v>
      </c>
      <c r="C304" s="6" t="s">
        <v>60</v>
      </c>
      <c r="D304" s="6" t="s">
        <v>1349</v>
      </c>
      <c r="E304" s="7" t="s">
        <v>60</v>
      </c>
      <c r="F304" s="7" t="s">
        <v>49</v>
      </c>
      <c r="G304" s="6" t="s">
        <v>1291</v>
      </c>
      <c r="H304" s="6" t="s">
        <v>1345</v>
      </c>
      <c r="I304" s="6" t="s">
        <v>1292</v>
      </c>
      <c r="J304" s="6" t="s">
        <v>1293</v>
      </c>
      <c r="K304" s="7" t="s">
        <v>85</v>
      </c>
      <c r="L304" s="6" t="s">
        <v>1</v>
      </c>
      <c r="M304" s="7" t="s">
        <v>27</v>
      </c>
      <c r="N304" s="6" t="s">
        <v>1</v>
      </c>
      <c r="O304" s="13" t="s">
        <v>1</v>
      </c>
      <c r="P304" s="6" t="s">
        <v>1</v>
      </c>
    </row>
    <row r="305" spans="1:16" x14ac:dyDescent="0.25">
      <c r="A305" s="7" t="s">
        <v>1350</v>
      </c>
      <c r="B305" s="6" t="s">
        <v>42</v>
      </c>
      <c r="C305" s="6" t="s">
        <v>60</v>
      </c>
      <c r="D305" s="6" t="s">
        <v>1351</v>
      </c>
      <c r="E305" s="7" t="s">
        <v>60</v>
      </c>
      <c r="F305" s="7" t="s">
        <v>49</v>
      </c>
      <c r="G305" s="6" t="s">
        <v>1296</v>
      </c>
      <c r="H305" s="6" t="s">
        <v>1345</v>
      </c>
      <c r="I305" s="6" t="s">
        <v>1297</v>
      </c>
      <c r="J305" s="6" t="s">
        <v>1293</v>
      </c>
      <c r="K305" s="7" t="s">
        <v>85</v>
      </c>
      <c r="L305" s="6" t="s">
        <v>1</v>
      </c>
      <c r="M305" s="7" t="s">
        <v>27</v>
      </c>
      <c r="N305" s="6" t="s">
        <v>1</v>
      </c>
      <c r="O305" s="13" t="s">
        <v>1</v>
      </c>
      <c r="P305" s="6" t="s">
        <v>1</v>
      </c>
    </row>
    <row r="306" spans="1:16" x14ac:dyDescent="0.25">
      <c r="A306" s="7" t="s">
        <v>1352</v>
      </c>
      <c r="B306" s="6" t="s">
        <v>42</v>
      </c>
      <c r="C306" s="6" t="s">
        <v>60</v>
      </c>
      <c r="D306" s="6" t="s">
        <v>1353</v>
      </c>
      <c r="E306" s="7" t="s">
        <v>60</v>
      </c>
      <c r="F306" s="7" t="s">
        <v>48</v>
      </c>
      <c r="G306" s="6" t="s">
        <v>1280</v>
      </c>
      <c r="H306" s="6" t="s">
        <v>1354</v>
      </c>
      <c r="I306" s="6" t="s">
        <v>1282</v>
      </c>
      <c r="J306" s="6" t="s">
        <v>1283</v>
      </c>
      <c r="K306" s="7" t="s">
        <v>85</v>
      </c>
      <c r="L306" s="6" t="s">
        <v>1</v>
      </c>
      <c r="M306" s="7" t="s">
        <v>27</v>
      </c>
      <c r="N306" s="6" t="s">
        <v>1</v>
      </c>
      <c r="O306" s="13" t="s">
        <v>1</v>
      </c>
      <c r="P306" s="6" t="s">
        <v>1</v>
      </c>
    </row>
    <row r="307" spans="1:16" x14ac:dyDescent="0.25">
      <c r="A307" s="7" t="s">
        <v>1355</v>
      </c>
      <c r="B307" s="6" t="s">
        <v>42</v>
      </c>
      <c r="C307" s="6" t="s">
        <v>60</v>
      </c>
      <c r="D307" s="6" t="s">
        <v>1356</v>
      </c>
      <c r="E307" s="7" t="s">
        <v>60</v>
      </c>
      <c r="F307" s="7" t="s">
        <v>49</v>
      </c>
      <c r="G307" s="6" t="s">
        <v>1286</v>
      </c>
      <c r="H307" s="6" t="s">
        <v>1354</v>
      </c>
      <c r="I307" s="6" t="s">
        <v>1287</v>
      </c>
      <c r="J307" s="6" t="s">
        <v>1288</v>
      </c>
      <c r="K307" s="7" t="s">
        <v>85</v>
      </c>
      <c r="L307" s="6" t="s">
        <v>1</v>
      </c>
      <c r="M307" s="7" t="s">
        <v>27</v>
      </c>
      <c r="N307" s="6" t="s">
        <v>1</v>
      </c>
      <c r="O307" s="13" t="s">
        <v>1</v>
      </c>
      <c r="P307" s="6" t="s">
        <v>1</v>
      </c>
    </row>
    <row r="308" spans="1:16" x14ac:dyDescent="0.25">
      <c r="A308" s="7" t="s">
        <v>1357</v>
      </c>
      <c r="B308" s="6" t="s">
        <v>42</v>
      </c>
      <c r="C308" s="6" t="s">
        <v>60</v>
      </c>
      <c r="D308" s="6" t="s">
        <v>1358</v>
      </c>
      <c r="E308" s="7" t="s">
        <v>60</v>
      </c>
      <c r="F308" s="7" t="s">
        <v>49</v>
      </c>
      <c r="G308" s="6" t="s">
        <v>1291</v>
      </c>
      <c r="H308" s="6" t="s">
        <v>1354</v>
      </c>
      <c r="I308" s="6" t="s">
        <v>1292</v>
      </c>
      <c r="J308" s="6" t="s">
        <v>1293</v>
      </c>
      <c r="K308" s="7" t="s">
        <v>85</v>
      </c>
      <c r="L308" s="6" t="s">
        <v>1</v>
      </c>
      <c r="M308" s="7" t="s">
        <v>27</v>
      </c>
      <c r="N308" s="6" t="s">
        <v>1</v>
      </c>
      <c r="O308" s="13" t="s">
        <v>1</v>
      </c>
      <c r="P308" s="6" t="s">
        <v>1</v>
      </c>
    </row>
    <row r="309" spans="1:16" x14ac:dyDescent="0.25">
      <c r="A309" s="7" t="s">
        <v>1359</v>
      </c>
      <c r="B309" s="6" t="s">
        <v>42</v>
      </c>
      <c r="C309" s="6" t="s">
        <v>60</v>
      </c>
      <c r="D309" s="6" t="s">
        <v>1360</v>
      </c>
      <c r="E309" s="7" t="s">
        <v>60</v>
      </c>
      <c r="F309" s="7" t="s">
        <v>49</v>
      </c>
      <c r="G309" s="6" t="s">
        <v>1296</v>
      </c>
      <c r="H309" s="6" t="s">
        <v>1354</v>
      </c>
      <c r="I309" s="6" t="s">
        <v>1297</v>
      </c>
      <c r="J309" s="6" t="s">
        <v>1293</v>
      </c>
      <c r="K309" s="7" t="s">
        <v>85</v>
      </c>
      <c r="L309" s="6" t="s">
        <v>1</v>
      </c>
      <c r="M309" s="7" t="s">
        <v>27</v>
      </c>
      <c r="N309" s="6" t="s">
        <v>1</v>
      </c>
      <c r="O309" s="13" t="s">
        <v>1</v>
      </c>
      <c r="P309" s="6" t="s">
        <v>1</v>
      </c>
    </row>
    <row r="310" spans="1:16" x14ac:dyDescent="0.25">
      <c r="A310" s="7" t="s">
        <v>1361</v>
      </c>
      <c r="B310" s="6" t="s">
        <v>42</v>
      </c>
      <c r="C310" s="6" t="s">
        <v>60</v>
      </c>
      <c r="D310" s="6" t="s">
        <v>1362</v>
      </c>
      <c r="E310" s="7" t="s">
        <v>60</v>
      </c>
      <c r="F310" s="7" t="s">
        <v>48</v>
      </c>
      <c r="G310" s="6" t="s">
        <v>1280</v>
      </c>
      <c r="H310" s="6" t="s">
        <v>1363</v>
      </c>
      <c r="I310" s="6" t="s">
        <v>1282</v>
      </c>
      <c r="J310" s="6" t="s">
        <v>1283</v>
      </c>
      <c r="K310" s="7" t="s">
        <v>85</v>
      </c>
      <c r="L310" s="6" t="s">
        <v>1</v>
      </c>
      <c r="M310" s="7" t="s">
        <v>27</v>
      </c>
      <c r="N310" s="6" t="s">
        <v>1</v>
      </c>
      <c r="O310" s="13" t="s">
        <v>1</v>
      </c>
      <c r="P310" s="6" t="s">
        <v>1</v>
      </c>
    </row>
    <row r="311" spans="1:16" x14ac:dyDescent="0.25">
      <c r="A311" s="7" t="s">
        <v>1364</v>
      </c>
      <c r="B311" s="6" t="s">
        <v>42</v>
      </c>
      <c r="C311" s="6" t="s">
        <v>60</v>
      </c>
      <c r="D311" s="6" t="s">
        <v>1365</v>
      </c>
      <c r="E311" s="7" t="s">
        <v>60</v>
      </c>
      <c r="F311" s="7" t="s">
        <v>49</v>
      </c>
      <c r="G311" s="6" t="s">
        <v>1286</v>
      </c>
      <c r="H311" s="6" t="s">
        <v>1363</v>
      </c>
      <c r="I311" s="6" t="s">
        <v>1287</v>
      </c>
      <c r="J311" s="6" t="s">
        <v>1288</v>
      </c>
      <c r="K311" s="7" t="s">
        <v>85</v>
      </c>
      <c r="L311" s="6" t="s">
        <v>1</v>
      </c>
      <c r="M311" s="7" t="s">
        <v>27</v>
      </c>
      <c r="N311" s="6" t="s">
        <v>1</v>
      </c>
      <c r="O311" s="13" t="s">
        <v>1</v>
      </c>
      <c r="P311" s="6" t="s">
        <v>1</v>
      </c>
    </row>
    <row r="312" spans="1:16" x14ac:dyDescent="0.25">
      <c r="A312" s="7" t="s">
        <v>1366</v>
      </c>
      <c r="B312" s="6" t="s">
        <v>42</v>
      </c>
      <c r="C312" s="6" t="s">
        <v>60</v>
      </c>
      <c r="D312" s="6" t="s">
        <v>1367</v>
      </c>
      <c r="E312" s="7" t="s">
        <v>60</v>
      </c>
      <c r="F312" s="7" t="s">
        <v>49</v>
      </c>
      <c r="G312" s="6" t="s">
        <v>1291</v>
      </c>
      <c r="H312" s="6" t="s">
        <v>1363</v>
      </c>
      <c r="I312" s="6" t="s">
        <v>1292</v>
      </c>
      <c r="J312" s="6" t="s">
        <v>1293</v>
      </c>
      <c r="K312" s="7" t="s">
        <v>85</v>
      </c>
      <c r="L312" s="6" t="s">
        <v>1</v>
      </c>
      <c r="M312" s="7" t="s">
        <v>27</v>
      </c>
      <c r="N312" s="6" t="s">
        <v>1</v>
      </c>
      <c r="O312" s="13" t="s">
        <v>1</v>
      </c>
      <c r="P312" s="6" t="s">
        <v>1</v>
      </c>
    </row>
    <row r="313" spans="1:16" x14ac:dyDescent="0.25">
      <c r="A313" s="7" t="s">
        <v>1368</v>
      </c>
      <c r="B313" s="6" t="s">
        <v>42</v>
      </c>
      <c r="C313" s="6" t="s">
        <v>60</v>
      </c>
      <c r="D313" s="6" t="s">
        <v>1369</v>
      </c>
      <c r="E313" s="7" t="s">
        <v>60</v>
      </c>
      <c r="F313" s="7" t="s">
        <v>49</v>
      </c>
      <c r="G313" s="6" t="s">
        <v>1296</v>
      </c>
      <c r="H313" s="6" t="s">
        <v>1363</v>
      </c>
      <c r="I313" s="6" t="s">
        <v>1297</v>
      </c>
      <c r="J313" s="6" t="s">
        <v>1293</v>
      </c>
      <c r="K313" s="7" t="s">
        <v>85</v>
      </c>
      <c r="L313" s="6" t="s">
        <v>1</v>
      </c>
      <c r="M313" s="7" t="s">
        <v>27</v>
      </c>
      <c r="N313" s="6" t="s">
        <v>1</v>
      </c>
      <c r="O313" s="13" t="s">
        <v>1</v>
      </c>
      <c r="P313" s="6" t="s">
        <v>1</v>
      </c>
    </row>
    <row r="314" spans="1:16" x14ac:dyDescent="0.25">
      <c r="A314" s="7" t="s">
        <v>1370</v>
      </c>
      <c r="B314" s="6" t="s">
        <v>42</v>
      </c>
      <c r="C314" s="6" t="s">
        <v>60</v>
      </c>
      <c r="D314" s="6" t="s">
        <v>1371</v>
      </c>
      <c r="E314" s="7" t="s">
        <v>60</v>
      </c>
      <c r="F314" s="7" t="s">
        <v>48</v>
      </c>
      <c r="G314" s="6" t="s">
        <v>1280</v>
      </c>
      <c r="H314" s="6" t="s">
        <v>1372</v>
      </c>
      <c r="I314" s="6" t="s">
        <v>1282</v>
      </c>
      <c r="J314" s="6" t="s">
        <v>1283</v>
      </c>
      <c r="K314" s="7" t="s">
        <v>85</v>
      </c>
      <c r="L314" s="6" t="s">
        <v>1</v>
      </c>
      <c r="M314" s="7" t="s">
        <v>27</v>
      </c>
      <c r="N314" s="6" t="s">
        <v>1</v>
      </c>
      <c r="O314" s="13" t="s">
        <v>1</v>
      </c>
      <c r="P314" s="6" t="s">
        <v>1</v>
      </c>
    </row>
    <row r="315" spans="1:16" x14ac:dyDescent="0.25">
      <c r="A315" s="7" t="s">
        <v>1373</v>
      </c>
      <c r="B315" s="6" t="s">
        <v>42</v>
      </c>
      <c r="C315" s="6" t="s">
        <v>60</v>
      </c>
      <c r="D315" s="6" t="s">
        <v>1374</v>
      </c>
      <c r="E315" s="7" t="s">
        <v>60</v>
      </c>
      <c r="F315" s="7" t="s">
        <v>49</v>
      </c>
      <c r="G315" s="6" t="s">
        <v>1286</v>
      </c>
      <c r="H315" s="6" t="s">
        <v>1372</v>
      </c>
      <c r="I315" s="6" t="s">
        <v>1287</v>
      </c>
      <c r="J315" s="6" t="s">
        <v>1288</v>
      </c>
      <c r="K315" s="7" t="s">
        <v>85</v>
      </c>
      <c r="L315" s="6" t="s">
        <v>1</v>
      </c>
      <c r="M315" s="7" t="s">
        <v>27</v>
      </c>
      <c r="N315" s="6" t="s">
        <v>1</v>
      </c>
      <c r="O315" s="13" t="s">
        <v>1</v>
      </c>
      <c r="P315" s="6" t="s">
        <v>1</v>
      </c>
    </row>
    <row r="316" spans="1:16" x14ac:dyDescent="0.25">
      <c r="A316" s="7" t="s">
        <v>1375</v>
      </c>
      <c r="B316" s="6" t="s">
        <v>42</v>
      </c>
      <c r="C316" s="6" t="s">
        <v>60</v>
      </c>
      <c r="D316" s="6" t="s">
        <v>1376</v>
      </c>
      <c r="E316" s="7" t="s">
        <v>60</v>
      </c>
      <c r="F316" s="7" t="s">
        <v>49</v>
      </c>
      <c r="G316" s="6" t="s">
        <v>1291</v>
      </c>
      <c r="H316" s="6" t="s">
        <v>1372</v>
      </c>
      <c r="I316" s="6" t="s">
        <v>1292</v>
      </c>
      <c r="J316" s="6" t="s">
        <v>1293</v>
      </c>
      <c r="K316" s="7" t="s">
        <v>85</v>
      </c>
      <c r="L316" s="6" t="s">
        <v>1</v>
      </c>
      <c r="M316" s="7" t="s">
        <v>27</v>
      </c>
      <c r="N316" s="6" t="s">
        <v>1</v>
      </c>
      <c r="O316" s="13" t="s">
        <v>1</v>
      </c>
      <c r="P316" s="6" t="s">
        <v>1</v>
      </c>
    </row>
    <row r="317" spans="1:16" x14ac:dyDescent="0.25">
      <c r="A317" s="7" t="s">
        <v>1377</v>
      </c>
      <c r="B317" s="6" t="s">
        <v>42</v>
      </c>
      <c r="C317" s="6" t="s">
        <v>60</v>
      </c>
      <c r="D317" s="6" t="s">
        <v>1378</v>
      </c>
      <c r="E317" s="7" t="s">
        <v>60</v>
      </c>
      <c r="F317" s="7" t="s">
        <v>49</v>
      </c>
      <c r="G317" s="6" t="s">
        <v>1296</v>
      </c>
      <c r="H317" s="6" t="s">
        <v>1372</v>
      </c>
      <c r="I317" s="6" t="s">
        <v>1297</v>
      </c>
      <c r="J317" s="6" t="s">
        <v>1293</v>
      </c>
      <c r="K317" s="7" t="s">
        <v>85</v>
      </c>
      <c r="L317" s="6" t="s">
        <v>1</v>
      </c>
      <c r="M317" s="7" t="s">
        <v>27</v>
      </c>
      <c r="N317" s="6" t="s">
        <v>1</v>
      </c>
      <c r="O317" s="13" t="s">
        <v>1</v>
      </c>
      <c r="P317" s="6" t="s">
        <v>1</v>
      </c>
    </row>
    <row r="318" spans="1:16" x14ac:dyDescent="0.25">
      <c r="A318" s="7" t="s">
        <v>1379</v>
      </c>
      <c r="B318" s="6" t="s">
        <v>42</v>
      </c>
      <c r="C318" s="6" t="s">
        <v>60</v>
      </c>
      <c r="D318" s="6" t="s">
        <v>1380</v>
      </c>
      <c r="E318" s="7" t="s">
        <v>60</v>
      </c>
      <c r="F318" s="7" t="s">
        <v>48</v>
      </c>
      <c r="G318" s="6" t="s">
        <v>1280</v>
      </c>
      <c r="H318" s="6" t="s">
        <v>1381</v>
      </c>
      <c r="I318" s="6" t="s">
        <v>1282</v>
      </c>
      <c r="J318" s="6" t="s">
        <v>1283</v>
      </c>
      <c r="K318" s="7" t="s">
        <v>85</v>
      </c>
      <c r="L318" s="6" t="s">
        <v>1</v>
      </c>
      <c r="M318" s="7" t="s">
        <v>27</v>
      </c>
      <c r="N318" s="6" t="s">
        <v>1</v>
      </c>
      <c r="O318" s="13" t="s">
        <v>1</v>
      </c>
      <c r="P318" s="6" t="s">
        <v>1</v>
      </c>
    </row>
    <row r="319" spans="1:16" x14ac:dyDescent="0.25">
      <c r="A319" s="7" t="s">
        <v>1382</v>
      </c>
      <c r="B319" s="6" t="s">
        <v>42</v>
      </c>
      <c r="C319" s="6" t="s">
        <v>60</v>
      </c>
      <c r="D319" s="6" t="s">
        <v>1383</v>
      </c>
      <c r="E319" s="7" t="s">
        <v>60</v>
      </c>
      <c r="F319" s="7" t="s">
        <v>49</v>
      </c>
      <c r="G319" s="6" t="s">
        <v>1286</v>
      </c>
      <c r="H319" s="6" t="s">
        <v>1381</v>
      </c>
      <c r="I319" s="6" t="s">
        <v>1287</v>
      </c>
      <c r="J319" s="6" t="s">
        <v>1288</v>
      </c>
      <c r="K319" s="7" t="s">
        <v>85</v>
      </c>
      <c r="L319" s="6" t="s">
        <v>1</v>
      </c>
      <c r="M319" s="7" t="s">
        <v>27</v>
      </c>
      <c r="N319" s="6" t="s">
        <v>1</v>
      </c>
      <c r="O319" s="13" t="s">
        <v>1</v>
      </c>
      <c r="P319" s="6" t="s">
        <v>1</v>
      </c>
    </row>
    <row r="320" spans="1:16" x14ac:dyDescent="0.25">
      <c r="A320" s="7" t="s">
        <v>1384</v>
      </c>
      <c r="B320" s="6" t="s">
        <v>42</v>
      </c>
      <c r="C320" s="6" t="s">
        <v>60</v>
      </c>
      <c r="D320" s="6" t="s">
        <v>1385</v>
      </c>
      <c r="E320" s="7" t="s">
        <v>60</v>
      </c>
      <c r="F320" s="7" t="s">
        <v>49</v>
      </c>
      <c r="G320" s="6" t="s">
        <v>1291</v>
      </c>
      <c r="H320" s="6" t="s">
        <v>1381</v>
      </c>
      <c r="I320" s="6" t="s">
        <v>1292</v>
      </c>
      <c r="J320" s="6" t="s">
        <v>1293</v>
      </c>
      <c r="K320" s="7" t="s">
        <v>85</v>
      </c>
      <c r="L320" s="6" t="s">
        <v>1</v>
      </c>
      <c r="M320" s="7" t="s">
        <v>27</v>
      </c>
      <c r="N320" s="6" t="s">
        <v>1</v>
      </c>
      <c r="O320" s="13" t="s">
        <v>1</v>
      </c>
      <c r="P320" s="6" t="s">
        <v>1</v>
      </c>
    </row>
    <row r="321" spans="1:16" x14ac:dyDescent="0.25">
      <c r="A321" s="7" t="s">
        <v>1386</v>
      </c>
      <c r="B321" s="6" t="s">
        <v>42</v>
      </c>
      <c r="C321" s="6" t="s">
        <v>60</v>
      </c>
      <c r="D321" s="6" t="s">
        <v>1387</v>
      </c>
      <c r="E321" s="7" t="s">
        <v>60</v>
      </c>
      <c r="F321" s="7" t="s">
        <v>49</v>
      </c>
      <c r="G321" s="6" t="s">
        <v>1296</v>
      </c>
      <c r="H321" s="6" t="s">
        <v>1381</v>
      </c>
      <c r="I321" s="6" t="s">
        <v>1297</v>
      </c>
      <c r="J321" s="6" t="s">
        <v>1293</v>
      </c>
      <c r="K321" s="7" t="s">
        <v>85</v>
      </c>
      <c r="L321" s="6" t="s">
        <v>1</v>
      </c>
      <c r="M321" s="7" t="s">
        <v>27</v>
      </c>
      <c r="N321" s="6" t="s">
        <v>1</v>
      </c>
      <c r="O321" s="13" t="s">
        <v>1</v>
      </c>
      <c r="P321" s="6" t="s">
        <v>1</v>
      </c>
    </row>
    <row r="322" spans="1:16" x14ac:dyDescent="0.25">
      <c r="A322" s="7" t="s">
        <v>1388</v>
      </c>
      <c r="B322" s="6" t="s">
        <v>42</v>
      </c>
      <c r="C322" s="6" t="s">
        <v>60</v>
      </c>
      <c r="D322" s="6" t="s">
        <v>1389</v>
      </c>
      <c r="E322" s="7" t="s">
        <v>60</v>
      </c>
      <c r="F322" s="7" t="s">
        <v>48</v>
      </c>
      <c r="G322" s="6" t="s">
        <v>1280</v>
      </c>
      <c r="H322" s="6" t="s">
        <v>1390</v>
      </c>
      <c r="I322" s="6" t="s">
        <v>1282</v>
      </c>
      <c r="J322" s="6" t="s">
        <v>1283</v>
      </c>
      <c r="K322" s="7" t="s">
        <v>85</v>
      </c>
      <c r="L322" s="6" t="s">
        <v>1</v>
      </c>
      <c r="M322" s="7" t="s">
        <v>27</v>
      </c>
      <c r="N322" s="6" t="s">
        <v>1</v>
      </c>
      <c r="O322" s="13" t="s">
        <v>1</v>
      </c>
      <c r="P322" s="6" t="s">
        <v>1</v>
      </c>
    </row>
    <row r="323" spans="1:16" x14ac:dyDescent="0.25">
      <c r="A323" s="7" t="s">
        <v>1391</v>
      </c>
      <c r="B323" s="6" t="s">
        <v>42</v>
      </c>
      <c r="C323" s="6" t="s">
        <v>60</v>
      </c>
      <c r="D323" s="6" t="s">
        <v>1392</v>
      </c>
      <c r="E323" s="7" t="s">
        <v>60</v>
      </c>
      <c r="F323" s="7" t="s">
        <v>49</v>
      </c>
      <c r="G323" s="6" t="s">
        <v>1286</v>
      </c>
      <c r="H323" s="6" t="s">
        <v>1390</v>
      </c>
      <c r="I323" s="6" t="s">
        <v>1287</v>
      </c>
      <c r="J323" s="6" t="s">
        <v>1288</v>
      </c>
      <c r="K323" s="7" t="s">
        <v>85</v>
      </c>
      <c r="L323" s="6" t="s">
        <v>1</v>
      </c>
      <c r="M323" s="7" t="s">
        <v>27</v>
      </c>
      <c r="N323" s="6" t="s">
        <v>1</v>
      </c>
      <c r="O323" s="13" t="s">
        <v>1</v>
      </c>
      <c r="P323" s="6" t="s">
        <v>1</v>
      </c>
    </row>
    <row r="324" spans="1:16" x14ac:dyDescent="0.25">
      <c r="A324" s="7" t="s">
        <v>1393</v>
      </c>
      <c r="B324" s="6" t="s">
        <v>42</v>
      </c>
      <c r="C324" s="6" t="s">
        <v>60</v>
      </c>
      <c r="D324" s="6" t="s">
        <v>1394</v>
      </c>
      <c r="E324" s="7" t="s">
        <v>60</v>
      </c>
      <c r="F324" s="7" t="s">
        <v>49</v>
      </c>
      <c r="G324" s="6" t="s">
        <v>1291</v>
      </c>
      <c r="H324" s="6" t="s">
        <v>1390</v>
      </c>
      <c r="I324" s="6" t="s">
        <v>1292</v>
      </c>
      <c r="J324" s="6" t="s">
        <v>1293</v>
      </c>
      <c r="K324" s="7" t="s">
        <v>85</v>
      </c>
      <c r="L324" s="6" t="s">
        <v>1</v>
      </c>
      <c r="M324" s="7" t="s">
        <v>27</v>
      </c>
      <c r="N324" s="6" t="s">
        <v>1</v>
      </c>
      <c r="O324" s="13" t="s">
        <v>1</v>
      </c>
      <c r="P324" s="6" t="s">
        <v>1</v>
      </c>
    </row>
    <row r="325" spans="1:16" x14ac:dyDescent="0.25">
      <c r="A325" s="7" t="s">
        <v>1395</v>
      </c>
      <c r="B325" s="6" t="s">
        <v>42</v>
      </c>
      <c r="C325" s="6" t="s">
        <v>60</v>
      </c>
      <c r="D325" s="6" t="s">
        <v>1396</v>
      </c>
      <c r="E325" s="7" t="s">
        <v>60</v>
      </c>
      <c r="F325" s="7" t="s">
        <v>49</v>
      </c>
      <c r="G325" s="6" t="s">
        <v>1296</v>
      </c>
      <c r="H325" s="6" t="s">
        <v>1390</v>
      </c>
      <c r="I325" s="6" t="s">
        <v>1297</v>
      </c>
      <c r="J325" s="6" t="s">
        <v>1293</v>
      </c>
      <c r="K325" s="7" t="s">
        <v>85</v>
      </c>
      <c r="L325" s="6" t="s">
        <v>1</v>
      </c>
      <c r="M325" s="7" t="s">
        <v>27</v>
      </c>
      <c r="N325" s="6" t="s">
        <v>1</v>
      </c>
      <c r="O325" s="13" t="s">
        <v>1</v>
      </c>
      <c r="P325" s="6" t="s">
        <v>1</v>
      </c>
    </row>
    <row r="326" spans="1:16" x14ac:dyDescent="0.25">
      <c r="A326" s="7" t="s">
        <v>1397</v>
      </c>
      <c r="B326" s="6" t="s">
        <v>42</v>
      </c>
      <c r="C326" s="6" t="s">
        <v>60</v>
      </c>
      <c r="D326" s="6" t="s">
        <v>1398</v>
      </c>
      <c r="E326" s="7" t="s">
        <v>60</v>
      </c>
      <c r="F326" s="7" t="s">
        <v>49</v>
      </c>
      <c r="G326" s="6" t="s">
        <v>88</v>
      </c>
      <c r="H326" s="6" t="s">
        <v>1399</v>
      </c>
      <c r="I326" s="6" t="s">
        <v>88</v>
      </c>
      <c r="J326" s="6" t="s">
        <v>1400</v>
      </c>
      <c r="K326" s="7" t="s">
        <v>85</v>
      </c>
      <c r="L326" s="6" t="s">
        <v>1</v>
      </c>
      <c r="M326" s="7" t="s">
        <v>27</v>
      </c>
      <c r="N326" s="6" t="s">
        <v>1</v>
      </c>
      <c r="O326" s="13" t="s">
        <v>1</v>
      </c>
      <c r="P326" s="6" t="s">
        <v>1</v>
      </c>
    </row>
    <row r="327" spans="1:16" x14ac:dyDescent="0.25">
      <c r="A327" s="7" t="s">
        <v>1401</v>
      </c>
      <c r="B327" s="6" t="s">
        <v>42</v>
      </c>
      <c r="C327" s="6" t="s">
        <v>60</v>
      </c>
      <c r="D327" s="6" t="s">
        <v>1402</v>
      </c>
      <c r="E327" s="7" t="s">
        <v>60</v>
      </c>
      <c r="F327" s="7" t="s">
        <v>50</v>
      </c>
      <c r="G327" s="6" t="s">
        <v>1403</v>
      </c>
      <c r="H327" s="6" t="s">
        <v>1404</v>
      </c>
      <c r="I327" s="6" t="s">
        <v>88</v>
      </c>
      <c r="J327" s="6" t="s">
        <v>1405</v>
      </c>
      <c r="K327" s="7" t="s">
        <v>102</v>
      </c>
      <c r="L327" s="6" t="s">
        <v>1</v>
      </c>
      <c r="M327" s="7" t="s">
        <v>27</v>
      </c>
      <c r="N327" s="6" t="s">
        <v>1</v>
      </c>
      <c r="O327" s="13" t="s">
        <v>1</v>
      </c>
      <c r="P327" s="6" t="s">
        <v>1</v>
      </c>
    </row>
    <row r="328" spans="1:16" x14ac:dyDescent="0.25">
      <c r="A328" s="7" t="s">
        <v>1406</v>
      </c>
      <c r="B328" s="6" t="s">
        <v>42</v>
      </c>
      <c r="C328" s="6" t="s">
        <v>60</v>
      </c>
      <c r="D328" s="6" t="s">
        <v>1407</v>
      </c>
      <c r="E328" s="7" t="s">
        <v>60</v>
      </c>
      <c r="F328" s="7" t="s">
        <v>49</v>
      </c>
      <c r="G328" s="6" t="s">
        <v>1408</v>
      </c>
      <c r="H328" s="6" t="s">
        <v>406</v>
      </c>
      <c r="I328" s="6" t="s">
        <v>88</v>
      </c>
      <c r="J328" s="6" t="s">
        <v>1409</v>
      </c>
      <c r="K328" s="7" t="s">
        <v>85</v>
      </c>
      <c r="L328" s="6" t="s">
        <v>1</v>
      </c>
      <c r="M328" s="7" t="s">
        <v>27</v>
      </c>
      <c r="N328" s="6" t="s">
        <v>1</v>
      </c>
      <c r="O328" s="13" t="s">
        <v>1</v>
      </c>
      <c r="P328" s="6" t="s">
        <v>1</v>
      </c>
    </row>
    <row r="329" spans="1:16" x14ac:dyDescent="0.25">
      <c r="A329" s="7" t="s">
        <v>1410</v>
      </c>
      <c r="B329" s="6" t="s">
        <v>42</v>
      </c>
      <c r="C329" s="6" t="s">
        <v>62</v>
      </c>
      <c r="D329" s="6" t="s">
        <v>1411</v>
      </c>
      <c r="E329" s="7" t="s">
        <v>62</v>
      </c>
      <c r="F329" s="7" t="s">
        <v>50</v>
      </c>
      <c r="G329" s="6" t="s">
        <v>88</v>
      </c>
      <c r="H329" s="6" t="s">
        <v>1412</v>
      </c>
      <c r="I329" s="6" t="s">
        <v>88</v>
      </c>
      <c r="J329" s="6" t="s">
        <v>1413</v>
      </c>
      <c r="K329" s="7" t="s">
        <v>102</v>
      </c>
      <c r="L329" s="6" t="s">
        <v>1</v>
      </c>
      <c r="M329" s="7" t="s">
        <v>27</v>
      </c>
      <c r="N329" s="6" t="s">
        <v>1</v>
      </c>
      <c r="O329" s="13" t="s">
        <v>1</v>
      </c>
      <c r="P329" s="6" t="s">
        <v>1</v>
      </c>
    </row>
    <row r="330" spans="1:16" x14ac:dyDescent="0.25">
      <c r="A330" s="7" t="s">
        <v>1414</v>
      </c>
      <c r="B330" s="6" t="s">
        <v>42</v>
      </c>
      <c r="C330" s="6" t="s">
        <v>62</v>
      </c>
      <c r="D330" s="6" t="s">
        <v>1415</v>
      </c>
      <c r="E330" s="7" t="s">
        <v>62</v>
      </c>
      <c r="F330" s="7" t="s">
        <v>51</v>
      </c>
      <c r="G330" s="6" t="s">
        <v>88</v>
      </c>
      <c r="H330" s="6" t="s">
        <v>1416</v>
      </c>
      <c r="I330" s="6" t="s">
        <v>88</v>
      </c>
      <c r="J330" s="6" t="s">
        <v>1417</v>
      </c>
      <c r="K330" s="7" t="s">
        <v>102</v>
      </c>
      <c r="L330" s="6" t="s">
        <v>1</v>
      </c>
      <c r="M330" s="7" t="s">
        <v>27</v>
      </c>
      <c r="N330" s="6" t="s">
        <v>1</v>
      </c>
      <c r="O330" s="13" t="s">
        <v>1</v>
      </c>
      <c r="P330" s="6" t="s">
        <v>1</v>
      </c>
    </row>
    <row r="331" spans="1:16" x14ac:dyDescent="0.25">
      <c r="A331" s="7" t="s">
        <v>1418</v>
      </c>
      <c r="B331" s="6" t="s">
        <v>42</v>
      </c>
      <c r="C331" s="6" t="s">
        <v>1419</v>
      </c>
      <c r="D331" s="6" t="s">
        <v>1420</v>
      </c>
      <c r="E331" s="7" t="s">
        <v>54</v>
      </c>
      <c r="F331" s="7" t="s">
        <v>49</v>
      </c>
      <c r="G331" s="6" t="s">
        <v>88</v>
      </c>
      <c r="H331" s="6" t="s">
        <v>1421</v>
      </c>
      <c r="I331" s="6" t="s">
        <v>88</v>
      </c>
      <c r="J331" s="6" t="s">
        <v>1422</v>
      </c>
      <c r="K331" s="7" t="s">
        <v>102</v>
      </c>
      <c r="L331" s="6" t="s">
        <v>1</v>
      </c>
      <c r="M331" s="7" t="s">
        <v>27</v>
      </c>
      <c r="N331" s="6" t="s">
        <v>1</v>
      </c>
      <c r="O331" s="13" t="s">
        <v>1</v>
      </c>
      <c r="P331" s="6" t="s">
        <v>1</v>
      </c>
    </row>
    <row r="332" spans="1:16" x14ac:dyDescent="0.25">
      <c r="A332" s="7" t="s">
        <v>1423</v>
      </c>
      <c r="B332" s="6" t="s">
        <v>43</v>
      </c>
      <c r="C332" s="6" t="s">
        <v>1424</v>
      </c>
      <c r="D332" s="6" t="s">
        <v>1425</v>
      </c>
      <c r="E332" s="7" t="s">
        <v>43</v>
      </c>
      <c r="F332" s="7" t="s">
        <v>48</v>
      </c>
      <c r="G332" s="6" t="s">
        <v>88</v>
      </c>
      <c r="H332" s="6" t="s">
        <v>1426</v>
      </c>
      <c r="I332" s="6" t="s">
        <v>88</v>
      </c>
      <c r="J332" s="6" t="s">
        <v>1427</v>
      </c>
      <c r="K332" s="7" t="s">
        <v>102</v>
      </c>
      <c r="L332" s="6" t="s">
        <v>1</v>
      </c>
      <c r="M332" s="7" t="s">
        <v>27</v>
      </c>
      <c r="N332" s="6" t="s">
        <v>1</v>
      </c>
      <c r="O332" s="13" t="s">
        <v>1</v>
      </c>
      <c r="P332" s="6" t="s">
        <v>1</v>
      </c>
    </row>
    <row r="333" spans="1:16" x14ac:dyDescent="0.25">
      <c r="A333" s="7" t="s">
        <v>1428</v>
      </c>
      <c r="B333" s="6" t="s">
        <v>43</v>
      </c>
      <c r="C333" s="6" t="s">
        <v>1429</v>
      </c>
      <c r="D333" s="6" t="s">
        <v>1430</v>
      </c>
      <c r="E333" s="7" t="s">
        <v>43</v>
      </c>
      <c r="F333" s="7" t="s">
        <v>48</v>
      </c>
      <c r="G333" s="6" t="s">
        <v>88</v>
      </c>
      <c r="H333" s="6" t="s">
        <v>1431</v>
      </c>
      <c r="I333" s="6" t="s">
        <v>88</v>
      </c>
      <c r="J333" s="6" t="s">
        <v>1432</v>
      </c>
      <c r="K333" s="7" t="s">
        <v>102</v>
      </c>
      <c r="L333" s="6" t="s">
        <v>1</v>
      </c>
      <c r="M333" s="7" t="s">
        <v>27</v>
      </c>
      <c r="N333" s="6" t="s">
        <v>1</v>
      </c>
      <c r="O333" s="13" t="s">
        <v>1</v>
      </c>
      <c r="P333" s="6" t="s">
        <v>1</v>
      </c>
    </row>
    <row r="334" spans="1:16" x14ac:dyDescent="0.25">
      <c r="A334" s="7" t="s">
        <v>1433</v>
      </c>
      <c r="B334" s="6" t="s">
        <v>43</v>
      </c>
      <c r="C334" s="6" t="s">
        <v>1434</v>
      </c>
      <c r="D334" s="6" t="s">
        <v>1435</v>
      </c>
      <c r="E334" s="7" t="s">
        <v>43</v>
      </c>
      <c r="F334" s="7" t="s">
        <v>48</v>
      </c>
      <c r="G334" s="6" t="s">
        <v>88</v>
      </c>
      <c r="H334" s="6" t="s">
        <v>1436</v>
      </c>
      <c r="I334" s="6" t="s">
        <v>88</v>
      </c>
      <c r="J334" s="6" t="s">
        <v>1437</v>
      </c>
      <c r="K334" s="7" t="s">
        <v>85</v>
      </c>
      <c r="L334" s="6" t="s">
        <v>1</v>
      </c>
      <c r="M334" s="7" t="s">
        <v>27</v>
      </c>
      <c r="N334" s="6" t="s">
        <v>1</v>
      </c>
      <c r="O334" s="13" t="s">
        <v>1</v>
      </c>
      <c r="P334" s="6" t="s">
        <v>1</v>
      </c>
    </row>
    <row r="335" spans="1:16" x14ac:dyDescent="0.25">
      <c r="A335" s="7" t="s">
        <v>1438</v>
      </c>
      <c r="B335" s="6" t="s">
        <v>43</v>
      </c>
      <c r="C335" s="6" t="s">
        <v>1439</v>
      </c>
      <c r="D335" s="6" t="s">
        <v>1440</v>
      </c>
      <c r="E335" s="7" t="s">
        <v>43</v>
      </c>
      <c r="F335" s="7" t="s">
        <v>48</v>
      </c>
      <c r="G335" s="6" t="s">
        <v>88</v>
      </c>
      <c r="H335" s="6" t="s">
        <v>1441</v>
      </c>
      <c r="I335" s="6" t="s">
        <v>88</v>
      </c>
      <c r="J335" s="6" t="s">
        <v>1442</v>
      </c>
      <c r="K335" s="7" t="s">
        <v>102</v>
      </c>
      <c r="L335" s="6" t="s">
        <v>1</v>
      </c>
      <c r="M335" s="7" t="s">
        <v>27</v>
      </c>
      <c r="N335" s="6" t="s">
        <v>1</v>
      </c>
      <c r="O335" s="13" t="s">
        <v>1</v>
      </c>
      <c r="P335" s="6" t="s">
        <v>1</v>
      </c>
    </row>
    <row r="336" spans="1:16" x14ac:dyDescent="0.25">
      <c r="A336" s="7" t="s">
        <v>1443</v>
      </c>
      <c r="B336" s="6" t="s">
        <v>43</v>
      </c>
      <c r="C336" s="6" t="s">
        <v>346</v>
      </c>
      <c r="D336" s="6" t="s">
        <v>1444</v>
      </c>
      <c r="E336" s="7" t="s">
        <v>43</v>
      </c>
      <c r="F336" s="7" t="s">
        <v>49</v>
      </c>
      <c r="G336" s="6" t="s">
        <v>88</v>
      </c>
      <c r="H336" s="6" t="s">
        <v>1445</v>
      </c>
      <c r="I336" s="6" t="s">
        <v>88</v>
      </c>
      <c r="J336" s="6" t="s">
        <v>1446</v>
      </c>
      <c r="K336" s="7" t="s">
        <v>85</v>
      </c>
      <c r="L336" s="6" t="s">
        <v>1</v>
      </c>
      <c r="M336" s="7" t="s">
        <v>27</v>
      </c>
      <c r="N336" s="6" t="s">
        <v>1</v>
      </c>
      <c r="O336" s="13" t="s">
        <v>1</v>
      </c>
      <c r="P336" s="6" t="s">
        <v>1</v>
      </c>
    </row>
    <row r="337" spans="1:16" x14ac:dyDescent="0.25">
      <c r="A337" s="7" t="s">
        <v>1447</v>
      </c>
      <c r="B337" s="6" t="s">
        <v>43</v>
      </c>
      <c r="C337" s="6" t="s">
        <v>1448</v>
      </c>
      <c r="D337" s="6" t="s">
        <v>1449</v>
      </c>
      <c r="E337" s="7" t="s">
        <v>43</v>
      </c>
      <c r="F337" s="7" t="s">
        <v>49</v>
      </c>
      <c r="G337" s="6" t="s">
        <v>1450</v>
      </c>
      <c r="H337" s="6" t="s">
        <v>1451</v>
      </c>
      <c r="I337" s="6" t="s">
        <v>88</v>
      </c>
      <c r="J337" s="6" t="s">
        <v>1452</v>
      </c>
      <c r="K337" s="7" t="s">
        <v>85</v>
      </c>
      <c r="L337" s="6" t="s">
        <v>1</v>
      </c>
      <c r="M337" s="7" t="s">
        <v>27</v>
      </c>
      <c r="N337" s="6" t="s">
        <v>1</v>
      </c>
      <c r="O337" s="13" t="s">
        <v>1</v>
      </c>
      <c r="P337" s="6" t="s">
        <v>1</v>
      </c>
    </row>
    <row r="338" spans="1:16" x14ac:dyDescent="0.25">
      <c r="A338" s="7" t="s">
        <v>1453</v>
      </c>
      <c r="B338" s="6" t="s">
        <v>43</v>
      </c>
      <c r="C338" s="6" t="s">
        <v>1454</v>
      </c>
      <c r="D338" s="6" t="s">
        <v>1455</v>
      </c>
      <c r="E338" s="7" t="s">
        <v>43</v>
      </c>
      <c r="F338" s="7" t="s">
        <v>49</v>
      </c>
      <c r="G338" s="6" t="s">
        <v>88</v>
      </c>
      <c r="H338" s="6" t="s">
        <v>1456</v>
      </c>
      <c r="I338" s="6" t="s">
        <v>88</v>
      </c>
      <c r="J338" s="6" t="s">
        <v>1457</v>
      </c>
      <c r="K338" s="7" t="s">
        <v>85</v>
      </c>
      <c r="L338" s="6" t="s">
        <v>1</v>
      </c>
      <c r="M338" s="7" t="s">
        <v>27</v>
      </c>
      <c r="N338" s="6" t="s">
        <v>1</v>
      </c>
      <c r="O338" s="13" t="s">
        <v>1</v>
      </c>
      <c r="P338" s="6" t="s">
        <v>1</v>
      </c>
    </row>
    <row r="339" spans="1:16" x14ac:dyDescent="0.25">
      <c r="A339" s="7" t="s">
        <v>1458</v>
      </c>
      <c r="B339" s="6" t="s">
        <v>43</v>
      </c>
      <c r="C339" s="6" t="s">
        <v>1459</v>
      </c>
      <c r="D339" s="6" t="s">
        <v>1460</v>
      </c>
      <c r="E339" s="7" t="s">
        <v>43</v>
      </c>
      <c r="F339" s="7" t="s">
        <v>48</v>
      </c>
      <c r="G339" s="6" t="s">
        <v>88</v>
      </c>
      <c r="H339" s="6" t="s">
        <v>1461</v>
      </c>
      <c r="I339" s="6" t="s">
        <v>88</v>
      </c>
      <c r="J339" s="6" t="s">
        <v>1462</v>
      </c>
      <c r="K339" s="7" t="s">
        <v>102</v>
      </c>
      <c r="L339" s="6" t="s">
        <v>1</v>
      </c>
      <c r="M339" s="7" t="s">
        <v>27</v>
      </c>
      <c r="N339" s="6" t="s">
        <v>1</v>
      </c>
      <c r="O339" s="13" t="s">
        <v>1</v>
      </c>
      <c r="P339" s="6" t="s">
        <v>1</v>
      </c>
    </row>
    <row r="340" spans="1:16" x14ac:dyDescent="0.25">
      <c r="A340" s="7" t="s">
        <v>1463</v>
      </c>
      <c r="B340" s="6" t="s">
        <v>44</v>
      </c>
      <c r="C340" s="6" t="s">
        <v>346</v>
      </c>
      <c r="D340" s="6" t="s">
        <v>1464</v>
      </c>
      <c r="E340" s="7" t="s">
        <v>57</v>
      </c>
      <c r="F340" s="7" t="s">
        <v>48</v>
      </c>
      <c r="G340" s="6" t="s">
        <v>88</v>
      </c>
      <c r="H340" s="6" t="s">
        <v>1465</v>
      </c>
      <c r="I340" s="6" t="s">
        <v>295</v>
      </c>
      <c r="J340" s="6" t="s">
        <v>1466</v>
      </c>
      <c r="K340" s="7" t="s">
        <v>85</v>
      </c>
      <c r="L340" s="6" t="s">
        <v>1</v>
      </c>
      <c r="M340" s="7" t="s">
        <v>27</v>
      </c>
      <c r="N340" s="6" t="s">
        <v>1</v>
      </c>
      <c r="O340" s="13" t="s">
        <v>1</v>
      </c>
      <c r="P340" s="6" t="s">
        <v>1</v>
      </c>
    </row>
    <row r="341" spans="1:16" x14ac:dyDescent="0.25">
      <c r="A341" s="7" t="s">
        <v>1467</v>
      </c>
      <c r="B341" s="6" t="s">
        <v>44</v>
      </c>
      <c r="C341" s="6" t="s">
        <v>440</v>
      </c>
      <c r="D341" s="6" t="s">
        <v>452</v>
      </c>
      <c r="E341" s="7" t="s">
        <v>57</v>
      </c>
      <c r="F341" s="7" t="s">
        <v>48</v>
      </c>
      <c r="G341" s="6" t="s">
        <v>88</v>
      </c>
      <c r="H341" s="6" t="s">
        <v>1468</v>
      </c>
      <c r="I341" s="6" t="s">
        <v>295</v>
      </c>
      <c r="J341" s="6" t="s">
        <v>1469</v>
      </c>
      <c r="K341" s="7" t="s">
        <v>85</v>
      </c>
      <c r="L341" s="6" t="s">
        <v>1</v>
      </c>
      <c r="M341" s="7" t="s">
        <v>27</v>
      </c>
      <c r="N341" s="6" t="s">
        <v>1</v>
      </c>
      <c r="O341" s="13" t="s">
        <v>1</v>
      </c>
      <c r="P341" s="6" t="s">
        <v>1</v>
      </c>
    </row>
    <row r="342" spans="1:16" x14ac:dyDescent="0.25">
      <c r="A342" s="7" t="s">
        <v>1470</v>
      </c>
      <c r="B342" s="6" t="s">
        <v>44</v>
      </c>
      <c r="C342" s="6" t="s">
        <v>440</v>
      </c>
      <c r="D342" s="6" t="s">
        <v>1471</v>
      </c>
      <c r="E342" s="7" t="s">
        <v>57</v>
      </c>
      <c r="F342" s="7" t="s">
        <v>48</v>
      </c>
      <c r="G342" s="6" t="s">
        <v>88</v>
      </c>
      <c r="H342" s="6" t="s">
        <v>1472</v>
      </c>
      <c r="I342" s="6" t="s">
        <v>88</v>
      </c>
      <c r="J342" s="6" t="s">
        <v>1473</v>
      </c>
      <c r="K342" s="7" t="s">
        <v>85</v>
      </c>
      <c r="L342" s="6" t="s">
        <v>1</v>
      </c>
      <c r="M342" s="7" t="s">
        <v>27</v>
      </c>
      <c r="N342" s="6" t="s">
        <v>1</v>
      </c>
      <c r="O342" s="13" t="s">
        <v>1</v>
      </c>
      <c r="P342" s="6" t="s">
        <v>1</v>
      </c>
    </row>
    <row r="343" spans="1:16" x14ac:dyDescent="0.25">
      <c r="A343" s="7" t="s">
        <v>1474</v>
      </c>
      <c r="B343" s="6" t="s">
        <v>44</v>
      </c>
      <c r="C343" s="6" t="s">
        <v>1475</v>
      </c>
      <c r="D343" s="6" t="s">
        <v>1476</v>
      </c>
      <c r="E343" s="7" t="s">
        <v>56</v>
      </c>
      <c r="F343" s="7" t="s">
        <v>51</v>
      </c>
      <c r="G343" s="6" t="s">
        <v>88</v>
      </c>
      <c r="H343" s="6" t="s">
        <v>1477</v>
      </c>
      <c r="I343" s="6" t="s">
        <v>88</v>
      </c>
      <c r="J343" s="6" t="s">
        <v>1478</v>
      </c>
      <c r="K343" s="7" t="s">
        <v>85</v>
      </c>
      <c r="L343" s="6" t="s">
        <v>1</v>
      </c>
      <c r="M343" s="7" t="s">
        <v>27</v>
      </c>
      <c r="N343" s="6" t="s">
        <v>1</v>
      </c>
      <c r="O343" s="13" t="s">
        <v>1</v>
      </c>
      <c r="P343" s="6" t="s">
        <v>1</v>
      </c>
    </row>
    <row r="344" spans="1:16" x14ac:dyDescent="0.25">
      <c r="A344" s="7" t="s">
        <v>1479</v>
      </c>
      <c r="B344" s="6" t="s">
        <v>44</v>
      </c>
      <c r="C344" s="6" t="s">
        <v>74</v>
      </c>
      <c r="D344" s="6" t="s">
        <v>1480</v>
      </c>
      <c r="E344" s="7" t="s">
        <v>57</v>
      </c>
      <c r="F344" s="7" t="s">
        <v>48</v>
      </c>
      <c r="G344" s="6" t="s">
        <v>88</v>
      </c>
      <c r="H344" s="6" t="s">
        <v>1481</v>
      </c>
      <c r="I344" s="6" t="s">
        <v>88</v>
      </c>
      <c r="J344" s="6" t="s">
        <v>1482</v>
      </c>
      <c r="K344" s="7" t="s">
        <v>85</v>
      </c>
      <c r="L344" s="6" t="s">
        <v>1</v>
      </c>
      <c r="M344" s="7" t="s">
        <v>27</v>
      </c>
      <c r="N344" s="6" t="s">
        <v>1</v>
      </c>
      <c r="O344" s="13" t="s">
        <v>1</v>
      </c>
      <c r="P344" s="6" t="s">
        <v>1</v>
      </c>
    </row>
    <row r="345" spans="1:16" x14ac:dyDescent="0.25">
      <c r="A345" s="7" t="s">
        <v>1483</v>
      </c>
      <c r="B345" s="6" t="s">
        <v>44</v>
      </c>
      <c r="C345" s="6" t="s">
        <v>74</v>
      </c>
      <c r="D345" s="6" t="s">
        <v>1484</v>
      </c>
      <c r="E345" s="7" t="s">
        <v>57</v>
      </c>
      <c r="F345" s="7" t="s">
        <v>48</v>
      </c>
      <c r="G345" s="6" t="s">
        <v>88</v>
      </c>
      <c r="H345" s="6" t="s">
        <v>1485</v>
      </c>
      <c r="I345" s="6" t="s">
        <v>88</v>
      </c>
      <c r="J345" s="6" t="s">
        <v>1486</v>
      </c>
      <c r="K345" s="7" t="s">
        <v>85</v>
      </c>
      <c r="L345" s="6" t="s">
        <v>1</v>
      </c>
      <c r="M345" s="7" t="s">
        <v>27</v>
      </c>
      <c r="N345" s="6" t="s">
        <v>1</v>
      </c>
      <c r="O345" s="13" t="s">
        <v>1</v>
      </c>
      <c r="P345" s="6" t="s">
        <v>1</v>
      </c>
    </row>
    <row r="346" spans="1:16" x14ac:dyDescent="0.25">
      <c r="A346" s="7" t="s">
        <v>1487</v>
      </c>
      <c r="B346" s="6" t="s">
        <v>44</v>
      </c>
      <c r="C346" s="6" t="s">
        <v>1488</v>
      </c>
      <c r="D346" s="6" t="s">
        <v>1122</v>
      </c>
      <c r="E346" s="7" t="s">
        <v>57</v>
      </c>
      <c r="F346" s="7" t="s">
        <v>48</v>
      </c>
      <c r="G346" s="6" t="s">
        <v>88</v>
      </c>
      <c r="H346" s="6" t="s">
        <v>1489</v>
      </c>
      <c r="I346" s="6" t="s">
        <v>88</v>
      </c>
      <c r="J346" s="6" t="s">
        <v>1490</v>
      </c>
      <c r="K346" s="7" t="s">
        <v>85</v>
      </c>
      <c r="L346" s="6" t="s">
        <v>1</v>
      </c>
      <c r="M346" s="7" t="s">
        <v>27</v>
      </c>
      <c r="N346" s="6" t="s">
        <v>1</v>
      </c>
      <c r="O346" s="13" t="s">
        <v>1</v>
      </c>
      <c r="P346" s="6" t="s">
        <v>1</v>
      </c>
    </row>
    <row r="347" spans="1:16" x14ac:dyDescent="0.25">
      <c r="A347" s="7" t="s">
        <v>1491</v>
      </c>
      <c r="B347" s="6" t="s">
        <v>44</v>
      </c>
      <c r="C347" s="6" t="s">
        <v>1492</v>
      </c>
      <c r="D347" s="6" t="s">
        <v>1493</v>
      </c>
      <c r="E347" s="7" t="s">
        <v>57</v>
      </c>
      <c r="F347" s="7" t="s">
        <v>49</v>
      </c>
      <c r="G347" s="6" t="s">
        <v>88</v>
      </c>
      <c r="H347" s="6" t="s">
        <v>1494</v>
      </c>
      <c r="I347" s="6" t="s">
        <v>88</v>
      </c>
      <c r="J347" s="6" t="s">
        <v>1495</v>
      </c>
      <c r="K347" s="7" t="s">
        <v>85</v>
      </c>
      <c r="L347" s="6" t="s">
        <v>1</v>
      </c>
      <c r="M347" s="7" t="s">
        <v>27</v>
      </c>
      <c r="N347" s="6" t="s">
        <v>1</v>
      </c>
      <c r="O347" s="13" t="s">
        <v>1</v>
      </c>
      <c r="P347" s="6" t="s">
        <v>1</v>
      </c>
    </row>
    <row r="348" spans="1:16" x14ac:dyDescent="0.25">
      <c r="A348" s="7" t="s">
        <v>1496</v>
      </c>
      <c r="B348" s="6" t="s">
        <v>44</v>
      </c>
      <c r="C348" s="6" t="s">
        <v>40</v>
      </c>
      <c r="D348" s="6" t="s">
        <v>1497</v>
      </c>
      <c r="E348" s="7" t="s">
        <v>57</v>
      </c>
      <c r="F348" s="7" t="s">
        <v>49</v>
      </c>
      <c r="G348" s="6" t="s">
        <v>88</v>
      </c>
      <c r="H348" s="6" t="s">
        <v>1498</v>
      </c>
      <c r="I348" s="6" t="s">
        <v>88</v>
      </c>
      <c r="J348" s="6" t="s">
        <v>1499</v>
      </c>
      <c r="K348" s="7" t="s">
        <v>85</v>
      </c>
      <c r="L348" s="6" t="s">
        <v>1</v>
      </c>
      <c r="M348" s="7" t="s">
        <v>27</v>
      </c>
      <c r="N348" s="6" t="s">
        <v>1</v>
      </c>
      <c r="O348" s="13" t="s">
        <v>1</v>
      </c>
      <c r="P348" s="6" t="s">
        <v>1</v>
      </c>
    </row>
    <row r="349" spans="1:16" x14ac:dyDescent="0.25">
      <c r="A349" s="7" t="s">
        <v>1500</v>
      </c>
      <c r="B349" s="6" t="s">
        <v>44</v>
      </c>
      <c r="C349" s="6" t="s">
        <v>1501</v>
      </c>
      <c r="D349" s="6" t="s">
        <v>1502</v>
      </c>
      <c r="E349" s="7" t="s">
        <v>57</v>
      </c>
      <c r="F349" s="7" t="s">
        <v>49</v>
      </c>
      <c r="G349" s="6" t="s">
        <v>88</v>
      </c>
      <c r="H349" s="6" t="s">
        <v>1503</v>
      </c>
      <c r="I349" s="6" t="s">
        <v>88</v>
      </c>
      <c r="J349" s="6" t="s">
        <v>1504</v>
      </c>
      <c r="K349" s="7" t="s">
        <v>85</v>
      </c>
      <c r="L349" s="6" t="s">
        <v>1</v>
      </c>
      <c r="M349" s="7" t="s">
        <v>27</v>
      </c>
      <c r="N349" s="6" t="s">
        <v>1</v>
      </c>
      <c r="O349" s="13" t="s">
        <v>1</v>
      </c>
      <c r="P349" s="6" t="s">
        <v>1</v>
      </c>
    </row>
    <row r="350" spans="1:16" x14ac:dyDescent="0.25">
      <c r="A350" s="7" t="s">
        <v>1505</v>
      </c>
      <c r="B350" s="6" t="s">
        <v>44</v>
      </c>
      <c r="C350" s="6" t="s">
        <v>1506</v>
      </c>
      <c r="D350" s="6" t="s">
        <v>1507</v>
      </c>
      <c r="E350" s="7" t="s">
        <v>56</v>
      </c>
      <c r="F350" s="7" t="s">
        <v>51</v>
      </c>
      <c r="G350" s="6" t="s">
        <v>88</v>
      </c>
      <c r="H350" s="6" t="s">
        <v>1508</v>
      </c>
      <c r="I350" s="6" t="s">
        <v>88</v>
      </c>
      <c r="J350" s="6" t="s">
        <v>1509</v>
      </c>
      <c r="K350" s="7" t="s">
        <v>85</v>
      </c>
      <c r="L350" s="6" t="s">
        <v>1</v>
      </c>
      <c r="M350" s="7" t="s">
        <v>27</v>
      </c>
      <c r="N350" s="6" t="s">
        <v>1</v>
      </c>
      <c r="O350" s="13" t="s">
        <v>1</v>
      </c>
      <c r="P350" s="6" t="s">
        <v>1</v>
      </c>
    </row>
    <row r="351" spans="1:16" x14ac:dyDescent="0.25">
      <c r="A351" s="7" t="s">
        <v>1510</v>
      </c>
      <c r="B351" s="6" t="s">
        <v>45</v>
      </c>
      <c r="C351" s="6" t="s">
        <v>1511</v>
      </c>
      <c r="D351" s="6" t="s">
        <v>1512</v>
      </c>
      <c r="E351" s="7" t="s">
        <v>57</v>
      </c>
      <c r="F351" s="7" t="s">
        <v>48</v>
      </c>
      <c r="G351" s="6" t="s">
        <v>1513</v>
      </c>
      <c r="H351" s="6" t="s">
        <v>1514</v>
      </c>
      <c r="I351" s="6" t="s">
        <v>295</v>
      </c>
      <c r="J351" s="6" t="s">
        <v>1515</v>
      </c>
      <c r="K351" s="7" t="s">
        <v>85</v>
      </c>
      <c r="L351" s="6" t="s">
        <v>1</v>
      </c>
      <c r="M351" s="7" t="s">
        <v>27</v>
      </c>
      <c r="N351" s="6" t="s">
        <v>1</v>
      </c>
      <c r="O351" s="13" t="s">
        <v>1</v>
      </c>
      <c r="P351" s="6" t="s">
        <v>1</v>
      </c>
    </row>
    <row r="352" spans="1:16" x14ac:dyDescent="0.25">
      <c r="A352" s="7" t="s">
        <v>1516</v>
      </c>
      <c r="B352" s="6" t="s">
        <v>45</v>
      </c>
      <c r="C352" s="6" t="s">
        <v>1517</v>
      </c>
      <c r="D352" s="6" t="s">
        <v>1518</v>
      </c>
      <c r="E352" s="7" t="s">
        <v>57</v>
      </c>
      <c r="F352" s="7" t="s">
        <v>48</v>
      </c>
      <c r="G352" s="6" t="s">
        <v>88</v>
      </c>
      <c r="H352" s="6" t="s">
        <v>1519</v>
      </c>
      <c r="I352" s="6" t="s">
        <v>657</v>
      </c>
      <c r="J352" s="6" t="s">
        <v>1520</v>
      </c>
      <c r="K352" s="7" t="s">
        <v>85</v>
      </c>
      <c r="L352" s="6" t="s">
        <v>1</v>
      </c>
      <c r="M352" s="7" t="s">
        <v>27</v>
      </c>
      <c r="N352" s="6" t="s">
        <v>1</v>
      </c>
      <c r="O352" s="13" t="s">
        <v>1</v>
      </c>
      <c r="P352" s="6" t="s">
        <v>1</v>
      </c>
    </row>
    <row r="353" spans="1:16" x14ac:dyDescent="0.25">
      <c r="A353" s="7" t="s">
        <v>1521</v>
      </c>
      <c r="B353" s="6" t="s">
        <v>45</v>
      </c>
      <c r="C353" s="6" t="s">
        <v>1522</v>
      </c>
      <c r="D353" s="6" t="s">
        <v>1523</v>
      </c>
      <c r="E353" s="7" t="s">
        <v>57</v>
      </c>
      <c r="F353" s="7" t="s">
        <v>48</v>
      </c>
      <c r="G353" s="6" t="s">
        <v>88</v>
      </c>
      <c r="H353" s="6" t="s">
        <v>1524</v>
      </c>
      <c r="I353" s="6" t="s">
        <v>407</v>
      </c>
      <c r="J353" s="6" t="s">
        <v>1525</v>
      </c>
      <c r="K353" s="7" t="s">
        <v>85</v>
      </c>
      <c r="L353" s="6" t="s">
        <v>1</v>
      </c>
      <c r="M353" s="7" t="s">
        <v>27</v>
      </c>
      <c r="N353" s="6" t="s">
        <v>1</v>
      </c>
      <c r="O353" s="13" t="s">
        <v>1</v>
      </c>
      <c r="P353" s="6" t="s">
        <v>1</v>
      </c>
    </row>
    <row r="354" spans="1:16" x14ac:dyDescent="0.25">
      <c r="A354" s="7" t="s">
        <v>1526</v>
      </c>
      <c r="B354" s="6" t="s">
        <v>45</v>
      </c>
      <c r="C354" s="6" t="s">
        <v>1527</v>
      </c>
      <c r="D354" s="6" t="s">
        <v>1528</v>
      </c>
      <c r="E354" s="7" t="s">
        <v>57</v>
      </c>
      <c r="F354" s="7" t="s">
        <v>48</v>
      </c>
      <c r="G354" s="6" t="s">
        <v>711</v>
      </c>
      <c r="H354" s="6" t="s">
        <v>1529</v>
      </c>
      <c r="I354" s="6" t="s">
        <v>88</v>
      </c>
      <c r="J354" s="6" t="s">
        <v>1530</v>
      </c>
      <c r="K354" s="7" t="s">
        <v>85</v>
      </c>
      <c r="L354" s="6" t="s">
        <v>1</v>
      </c>
      <c r="M354" s="7" t="s">
        <v>27</v>
      </c>
      <c r="N354" s="6" t="s">
        <v>1</v>
      </c>
      <c r="O354" s="13" t="s">
        <v>1</v>
      </c>
      <c r="P354" s="6" t="s">
        <v>1</v>
      </c>
    </row>
    <row r="355" spans="1:16" x14ac:dyDescent="0.25">
      <c r="A355" s="7" t="s">
        <v>1531</v>
      </c>
      <c r="B355" s="6" t="s">
        <v>45</v>
      </c>
      <c r="C355" s="6" t="s">
        <v>1532</v>
      </c>
      <c r="D355" s="6" t="s">
        <v>1533</v>
      </c>
      <c r="E355" s="7" t="s">
        <v>57</v>
      </c>
      <c r="F355" s="7" t="s">
        <v>48</v>
      </c>
      <c r="G355" s="6" t="s">
        <v>808</v>
      </c>
      <c r="H355" s="6" t="s">
        <v>1534</v>
      </c>
      <c r="I355" s="6" t="s">
        <v>88</v>
      </c>
      <c r="J355" s="6" t="s">
        <v>1535</v>
      </c>
      <c r="K355" s="7" t="s">
        <v>85</v>
      </c>
      <c r="L355" s="6" t="s">
        <v>1</v>
      </c>
      <c r="M355" s="7" t="s">
        <v>27</v>
      </c>
      <c r="N355" s="6" t="s">
        <v>1</v>
      </c>
      <c r="O355" s="13" t="s">
        <v>1</v>
      </c>
      <c r="P355" s="6" t="s">
        <v>1</v>
      </c>
    </row>
    <row r="356" spans="1:16" x14ac:dyDescent="0.25">
      <c r="A356" s="7" t="s">
        <v>1536</v>
      </c>
      <c r="B356" s="6" t="s">
        <v>45</v>
      </c>
      <c r="C356" s="6" t="s">
        <v>1537</v>
      </c>
      <c r="D356" s="6" t="s">
        <v>1538</v>
      </c>
      <c r="E356" s="7" t="s">
        <v>57</v>
      </c>
      <c r="F356" s="7" t="s">
        <v>49</v>
      </c>
      <c r="G356" s="6" t="s">
        <v>88</v>
      </c>
      <c r="H356" s="6" t="s">
        <v>1539</v>
      </c>
      <c r="I356" s="6" t="s">
        <v>88</v>
      </c>
      <c r="J356" s="6" t="s">
        <v>1540</v>
      </c>
      <c r="K356" s="7" t="s">
        <v>85</v>
      </c>
      <c r="L356" s="6" t="s">
        <v>1</v>
      </c>
      <c r="M356" s="7" t="s">
        <v>27</v>
      </c>
      <c r="N356" s="6" t="s">
        <v>1</v>
      </c>
      <c r="O356" s="13" t="s">
        <v>1</v>
      </c>
      <c r="P356" s="6" t="s">
        <v>1</v>
      </c>
    </row>
  </sheetData>
  <autoFilter ref="A1:P356"/>
  <conditionalFormatting sqref="M2:M356">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"Skipped"</formula>
    </cfRule>
  </conditionalFormatting>
  <conditionalFormatting sqref="F2:F356">
    <cfRule type="cellIs" dxfId="4" priority="5" operator="equal">
      <formula>"P1"</formula>
    </cfRule>
    <cfRule type="cellIs" dxfId="5" priority="6" operator="equal">
      <formula>"P2"</formula>
    </cfRule>
  </conditionalFormatting>
  <dataValidations count="2">
    <dataValidation type="list" sqref="M10:M356">
      <formula1>"Not Run,Pass,Fail,Blocked,Skipped"</formula1>
    </dataValidation>
    <dataValidation type="list" sqref="M2:M356">
      <formula1>"Not Run,Pass,Fail,Blocked,Skipped"</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54"/>
  <sheetFormatPr defaultRowHeight="15" outlineLevelRow="0" outlineLevelCol="0" x14ac:dyDescent="55"/>
  <cols>
    <col min="1" max="2" width="44" customWidth="1"/>
    <col min="3" max="3" width="62" customWidth="1"/>
    <col min="4" max="4" width="44" customWidth="1"/>
  </cols>
  <sheetData>
    <row r="1" spans="1:1" x14ac:dyDescent="0.25">
      <c r="A1" s="14" t="s">
        <v>1541</v>
      </c>
    </row>
    <row r="2" ht="30" customHeight="1" spans="1:4" x14ac:dyDescent="0.25">
      <c r="A2" s="5" t="s">
        <v>292</v>
      </c>
      <c r="B2" s="5" t="s">
        <v>1542</v>
      </c>
      <c r="C2" s="5" t="s">
        <v>1543</v>
      </c>
      <c r="D2" s="5" t="s">
        <v>1544</v>
      </c>
    </row>
    <row r="3" spans="1:4" x14ac:dyDescent="0.25">
      <c r="A3" s="12" t="s">
        <v>295</v>
      </c>
      <c r="B3" s="12" t="s">
        <v>1545</v>
      </c>
      <c r="C3" s="12" t="s">
        <v>1546</v>
      </c>
      <c r="D3" s="12" t="s">
        <v>1547</v>
      </c>
    </row>
    <row r="4" spans="1:4" x14ac:dyDescent="0.25">
      <c r="A4" s="12" t="s">
        <v>407</v>
      </c>
      <c r="B4" s="12" t="s">
        <v>1548</v>
      </c>
      <c r="C4" s="12" t="s">
        <v>1549</v>
      </c>
      <c r="D4" s="12" t="s">
        <v>1550</v>
      </c>
    </row>
    <row r="5" spans="1:4" x14ac:dyDescent="0.25">
      <c r="A5" s="12" t="s">
        <v>638</v>
      </c>
      <c r="B5" s="12" t="s">
        <v>1551</v>
      </c>
      <c r="C5" s="12" t="s">
        <v>1552</v>
      </c>
      <c r="D5" s="12" t="s">
        <v>1553</v>
      </c>
    </row>
    <row r="6" spans="1:4" x14ac:dyDescent="0.25">
      <c r="A6" s="12" t="s">
        <v>657</v>
      </c>
      <c r="B6" s="12" t="s">
        <v>1554</v>
      </c>
      <c r="C6" s="12" t="s">
        <v>1552</v>
      </c>
      <c r="D6" s="12" t="s">
        <v>1555</v>
      </c>
    </row>
    <row r="7" spans="1:4" x14ac:dyDescent="0.25">
      <c r="A7" s="12" t="s">
        <v>1556</v>
      </c>
      <c r="B7" s="12" t="s">
        <v>1557</v>
      </c>
      <c r="C7" s="12" t="s">
        <v>324</v>
      </c>
      <c r="D7" s="12" t="s">
        <v>1</v>
      </c>
    </row>
    <row r="8" spans="1:4" x14ac:dyDescent="0.25">
      <c r="A8" s="12" t="s">
        <v>1558</v>
      </c>
      <c r="B8" s="12" t="s">
        <v>1559</v>
      </c>
      <c r="C8" s="12" t="s">
        <v>329</v>
      </c>
      <c r="D8" s="12" t="s">
        <v>1</v>
      </c>
    </row>
    <row r="9" spans="1:4" x14ac:dyDescent="0.25">
      <c r="A9" s="12" t="s">
        <v>1560</v>
      </c>
      <c r="B9" s="12" t="s">
        <v>1561</v>
      </c>
      <c r="C9" s="12" t="s">
        <v>334</v>
      </c>
      <c r="D9" s="12" t="s">
        <v>1</v>
      </c>
    </row>
    <row r="10" spans="1:4" x14ac:dyDescent="0.25">
      <c r="A10" s="12" t="s">
        <v>1562</v>
      </c>
      <c r="B10" s="12" t="s">
        <v>1563</v>
      </c>
      <c r="C10" s="12" t="s">
        <v>1564</v>
      </c>
      <c r="D10" s="12" t="s">
        <v>1</v>
      </c>
    </row>
    <row r="11" spans="1:4" x14ac:dyDescent="0.25">
      <c r="A11" s="12" t="s">
        <v>1565</v>
      </c>
      <c r="B11" s="12" t="s">
        <v>1566</v>
      </c>
      <c r="C11" s="12" t="s">
        <v>319</v>
      </c>
      <c r="D11" s="12" t="s">
        <v>1</v>
      </c>
    </row>
    <row r="12" spans="1:4" x14ac:dyDescent="0.25">
      <c r="A12" s="12" t="s">
        <v>1567</v>
      </c>
      <c r="B12" s="12" t="s">
        <v>1568</v>
      </c>
      <c r="C12" s="12" t="s">
        <v>1569</v>
      </c>
      <c r="D12" s="12" t="s">
        <v>1570</v>
      </c>
    </row>
    <row r="13" spans="1:4" x14ac:dyDescent="0.25">
      <c r="A13" s="12" t="s">
        <v>1571</v>
      </c>
      <c r="B13" s="12" t="s">
        <v>1572</v>
      </c>
      <c r="C13" s="12" t="s">
        <v>1573</v>
      </c>
      <c r="D13" s="12" t="s">
        <v>1</v>
      </c>
    </row>
    <row r="14" spans="1:4" x14ac:dyDescent="0.25">
      <c r="A14" s="12" t="s">
        <v>1574</v>
      </c>
      <c r="B14" s="12" t="s">
        <v>1575</v>
      </c>
      <c r="C14" s="12" t="s">
        <v>1576</v>
      </c>
      <c r="D14" s="12" t="s">
        <v>1</v>
      </c>
    </row>
    <row r="16" spans="1:1" x14ac:dyDescent="0.25">
      <c r="A16" s="14" t="s">
        <v>1577</v>
      </c>
    </row>
    <row r="17" ht="30" customHeight="1" spans="1:4" x14ac:dyDescent="0.25">
      <c r="A17" s="5" t="s">
        <v>1578</v>
      </c>
      <c r="B17" s="5" t="s">
        <v>40</v>
      </c>
      <c r="C17" s="5" t="s">
        <v>1579</v>
      </c>
      <c r="D17" s="5" t="s">
        <v>1580</v>
      </c>
    </row>
    <row r="18" spans="1:4" x14ac:dyDescent="0.25">
      <c r="A18" s="12" t="s">
        <v>1581</v>
      </c>
      <c r="B18" s="12" t="s">
        <v>1582</v>
      </c>
      <c r="C18" s="12" t="s">
        <v>1583</v>
      </c>
      <c r="D18" s="12" t="s">
        <v>1584</v>
      </c>
    </row>
    <row r="19" spans="1:4" x14ac:dyDescent="0.25">
      <c r="A19" s="12" t="s">
        <v>1585</v>
      </c>
      <c r="B19" s="12" t="s">
        <v>1586</v>
      </c>
      <c r="C19" s="12" t="s">
        <v>1583</v>
      </c>
      <c r="D19" s="12" t="s">
        <v>1587</v>
      </c>
    </row>
    <row r="20" spans="1:4" x14ac:dyDescent="0.25">
      <c r="A20" s="12" t="s">
        <v>1588</v>
      </c>
      <c r="B20" s="12" t="s">
        <v>1582</v>
      </c>
      <c r="C20" s="12" t="s">
        <v>1583</v>
      </c>
      <c r="D20" s="12" t="s">
        <v>1589</v>
      </c>
    </row>
    <row r="21" spans="1:4" x14ac:dyDescent="0.25">
      <c r="A21" s="12" t="s">
        <v>1590</v>
      </c>
      <c r="B21" s="12" t="s">
        <v>1582</v>
      </c>
      <c r="C21" s="12" t="s">
        <v>1583</v>
      </c>
      <c r="D21" s="12" t="s">
        <v>1591</v>
      </c>
    </row>
    <row r="22" spans="1:4" x14ac:dyDescent="0.25">
      <c r="A22" s="12" t="s">
        <v>1592</v>
      </c>
      <c r="B22" s="12" t="s">
        <v>1582</v>
      </c>
      <c r="C22" s="12" t="s">
        <v>1583</v>
      </c>
      <c r="D22" s="12" t="s">
        <v>1593</v>
      </c>
    </row>
    <row r="23" spans="1:4" x14ac:dyDescent="0.25">
      <c r="A23" s="12" t="s">
        <v>1594</v>
      </c>
      <c r="B23" s="12" t="s">
        <v>1586</v>
      </c>
      <c r="C23" s="12" t="s">
        <v>1583</v>
      </c>
      <c r="D23" s="12" t="s">
        <v>1595</v>
      </c>
    </row>
    <row r="24" spans="1:4" x14ac:dyDescent="0.25">
      <c r="A24" s="12" t="s">
        <v>1596</v>
      </c>
      <c r="B24" s="12" t="s">
        <v>1586</v>
      </c>
      <c r="C24" s="12" t="s">
        <v>1583</v>
      </c>
      <c r="D24" s="12" t="s">
        <v>1597</v>
      </c>
    </row>
    <row r="25" spans="1:4" x14ac:dyDescent="0.25">
      <c r="A25" s="12" t="s">
        <v>1598</v>
      </c>
      <c r="B25" s="12" t="s">
        <v>1586</v>
      </c>
      <c r="C25" s="12" t="s">
        <v>1599</v>
      </c>
      <c r="D25" s="12" t="s">
        <v>1600</v>
      </c>
    </row>
    <row r="26" spans="1:4" x14ac:dyDescent="0.25">
      <c r="A26" s="12" t="s">
        <v>1601</v>
      </c>
      <c r="B26" s="12" t="s">
        <v>1586</v>
      </c>
      <c r="C26" s="12" t="s">
        <v>1602</v>
      </c>
      <c r="D26" s="12" t="s">
        <v>1603</v>
      </c>
    </row>
    <row r="27" spans="1:4" x14ac:dyDescent="0.25">
      <c r="A27" s="12" t="s">
        <v>1604</v>
      </c>
      <c r="B27" s="12" t="s">
        <v>1586</v>
      </c>
      <c r="C27" s="12" t="s">
        <v>1583</v>
      </c>
      <c r="D27" s="12" t="s">
        <v>1605</v>
      </c>
    </row>
    <row r="28" spans="1:4" x14ac:dyDescent="0.25">
      <c r="A28" s="12" t="s">
        <v>1606</v>
      </c>
      <c r="B28" s="12" t="s">
        <v>1582</v>
      </c>
      <c r="C28" s="12" t="s">
        <v>1583</v>
      </c>
      <c r="D28" s="12" t="s">
        <v>1607</v>
      </c>
    </row>
    <row r="29" spans="1:4" x14ac:dyDescent="0.25">
      <c r="A29" s="12" t="s">
        <v>1608</v>
      </c>
      <c r="B29" s="12" t="s">
        <v>1582</v>
      </c>
      <c r="C29" s="12" t="s">
        <v>1583</v>
      </c>
      <c r="D29" s="12" t="s">
        <v>1609</v>
      </c>
    </row>
    <row r="30" spans="1:4" x14ac:dyDescent="0.25">
      <c r="A30" s="12" t="s">
        <v>1610</v>
      </c>
      <c r="B30" s="12" t="s">
        <v>1586</v>
      </c>
      <c r="C30" s="12" t="s">
        <v>1583</v>
      </c>
      <c r="D30" s="12" t="s">
        <v>1611</v>
      </c>
    </row>
    <row r="31" spans="1:4" x14ac:dyDescent="0.25">
      <c r="A31" s="12" t="s">
        <v>1612</v>
      </c>
      <c r="B31" s="12" t="s">
        <v>1582</v>
      </c>
      <c r="C31" s="12" t="s">
        <v>1583</v>
      </c>
      <c r="D31" s="12" t="s">
        <v>1613</v>
      </c>
    </row>
    <row r="32" spans="1:4" x14ac:dyDescent="0.25">
      <c r="A32" s="12" t="s">
        <v>1614</v>
      </c>
      <c r="B32" s="12" t="s">
        <v>1582</v>
      </c>
      <c r="C32" s="12" t="s">
        <v>1583</v>
      </c>
      <c r="D32" s="12" t="s">
        <v>1615</v>
      </c>
    </row>
    <row r="33" spans="1:4" x14ac:dyDescent="0.25">
      <c r="A33" s="12" t="s">
        <v>1616</v>
      </c>
      <c r="B33" s="12" t="s">
        <v>1582</v>
      </c>
      <c r="C33" s="12" t="s">
        <v>1583</v>
      </c>
      <c r="D33" s="12" t="s">
        <v>1617</v>
      </c>
    </row>
    <row r="34" spans="1:4" x14ac:dyDescent="0.25">
      <c r="A34" s="12" t="s">
        <v>1618</v>
      </c>
      <c r="B34" s="12" t="s">
        <v>1586</v>
      </c>
      <c r="C34" s="12" t="s">
        <v>1583</v>
      </c>
      <c r="D34" s="12" t="s">
        <v>1619</v>
      </c>
    </row>
    <row r="35" spans="1:4" x14ac:dyDescent="0.25">
      <c r="A35" s="12" t="s">
        <v>1620</v>
      </c>
      <c r="B35" s="12" t="s">
        <v>1586</v>
      </c>
      <c r="C35" s="12" t="s">
        <v>1583</v>
      </c>
      <c r="D35" s="12" t="s">
        <v>1621</v>
      </c>
    </row>
    <row r="36" spans="1:4" x14ac:dyDescent="0.25">
      <c r="A36" s="12" t="s">
        <v>1622</v>
      </c>
      <c r="B36" s="12" t="s">
        <v>1582</v>
      </c>
      <c r="C36" s="12" t="s">
        <v>1583</v>
      </c>
      <c r="D36" s="12" t="s">
        <v>1623</v>
      </c>
    </row>
    <row r="37" spans="1:4" x14ac:dyDescent="0.25">
      <c r="A37" s="12" t="s">
        <v>1624</v>
      </c>
      <c r="B37" s="12" t="s">
        <v>1582</v>
      </c>
      <c r="C37" s="12" t="s">
        <v>1583</v>
      </c>
      <c r="D37" s="12" t="s">
        <v>1625</v>
      </c>
    </row>
    <row r="38" spans="1:4" x14ac:dyDescent="0.25">
      <c r="A38" s="12" t="s">
        <v>1626</v>
      </c>
      <c r="B38" s="12" t="s">
        <v>1586</v>
      </c>
      <c r="C38" s="12" t="s">
        <v>1602</v>
      </c>
      <c r="D38" s="12" t="s">
        <v>1627</v>
      </c>
    </row>
    <row r="39" spans="1:4" x14ac:dyDescent="0.25">
      <c r="A39" s="12" t="s">
        <v>1628</v>
      </c>
      <c r="B39" s="12" t="s">
        <v>1629</v>
      </c>
      <c r="C39" s="12" t="s">
        <v>1583</v>
      </c>
      <c r="D39" s="12" t="s">
        <v>1630</v>
      </c>
    </row>
    <row r="41" spans="1:1" x14ac:dyDescent="0.25">
      <c r="A41" s="14" t="s">
        <v>1631</v>
      </c>
    </row>
    <row r="42" ht="30" customHeight="1" spans="1:4" x14ac:dyDescent="0.25">
      <c r="A42" s="5" t="s">
        <v>74</v>
      </c>
      <c r="B42" s="5" t="s">
        <v>1632</v>
      </c>
      <c r="C42" s="5" t="s">
        <v>1633</v>
      </c>
      <c r="D42" s="5" t="s">
        <v>1634</v>
      </c>
    </row>
    <row r="43" spans="1:4" x14ac:dyDescent="0.25">
      <c r="A43" s="12" t="s">
        <v>1635</v>
      </c>
      <c r="B43" s="12" t="s">
        <v>1636</v>
      </c>
      <c r="C43" s="12" t="s">
        <v>1637</v>
      </c>
      <c r="D43" s="12" t="s">
        <v>1638</v>
      </c>
    </row>
    <row r="44" spans="1:4" x14ac:dyDescent="0.25">
      <c r="A44" s="12" t="s">
        <v>1639</v>
      </c>
      <c r="B44" s="12" t="s">
        <v>1640</v>
      </c>
      <c r="C44" s="12" t="s">
        <v>1641</v>
      </c>
      <c r="D44" s="12" t="s">
        <v>753</v>
      </c>
    </row>
    <row r="45" spans="1:4" x14ac:dyDescent="0.25">
      <c r="A45" s="12" t="s">
        <v>1642</v>
      </c>
      <c r="B45" s="12" t="s">
        <v>1643</v>
      </c>
      <c r="C45" s="12" t="s">
        <v>1644</v>
      </c>
      <c r="D45" s="12" t="s">
        <v>1645</v>
      </c>
    </row>
    <row r="46" spans="1:4" x14ac:dyDescent="0.25">
      <c r="A46" s="12" t="s">
        <v>818</v>
      </c>
      <c r="B46" s="12" t="s">
        <v>1646</v>
      </c>
      <c r="C46" s="12" t="s">
        <v>1647</v>
      </c>
      <c r="D46" s="12" t="s">
        <v>759</v>
      </c>
    </row>
    <row r="47" spans="1:4" x14ac:dyDescent="0.25">
      <c r="A47" s="12" t="s">
        <v>1648</v>
      </c>
      <c r="B47" s="12" t="s">
        <v>1649</v>
      </c>
      <c r="C47" s="12" t="s">
        <v>1650</v>
      </c>
      <c r="D47" s="12" t="s">
        <v>767</v>
      </c>
    </row>
    <row r="49" spans="1:1" x14ac:dyDescent="0.25">
      <c r="A49" s="14" t="s">
        <v>1651</v>
      </c>
    </row>
    <row r="50" ht="30" customHeight="1" spans="1:4" x14ac:dyDescent="0.25">
      <c r="A50" s="5" t="s">
        <v>1652</v>
      </c>
      <c r="B50" s="5" t="s">
        <v>1632</v>
      </c>
      <c r="C50" s="5" t="s">
        <v>1653</v>
      </c>
      <c r="D50" s="5" t="s">
        <v>1</v>
      </c>
    </row>
    <row r="51" spans="1:4" x14ac:dyDescent="0.25">
      <c r="A51" s="12" t="s">
        <v>1654</v>
      </c>
      <c r="B51" s="12" t="s">
        <v>1655</v>
      </c>
      <c r="C51" s="12" t="s">
        <v>88</v>
      </c>
      <c r="D51" s="12" t="s">
        <v>1</v>
      </c>
    </row>
    <row r="52" spans="1:4" x14ac:dyDescent="0.25">
      <c r="A52" s="12" t="s">
        <v>1635</v>
      </c>
      <c r="B52" s="12" t="s">
        <v>1656</v>
      </c>
      <c r="C52" s="12" t="s">
        <v>1657</v>
      </c>
      <c r="D52" s="12" t="s">
        <v>1</v>
      </c>
    </row>
    <row r="53" spans="1:4" x14ac:dyDescent="0.25">
      <c r="A53" s="12" t="s">
        <v>1639</v>
      </c>
      <c r="B53" s="12" t="s">
        <v>1658</v>
      </c>
      <c r="C53" s="12" t="s">
        <v>1659</v>
      </c>
      <c r="D53" s="12" t="s">
        <v>1</v>
      </c>
    </row>
    <row r="54" spans="1:4" x14ac:dyDescent="0.25">
      <c r="A54" s="12" t="s">
        <v>1660</v>
      </c>
      <c r="B54" s="12" t="s">
        <v>1661</v>
      </c>
      <c r="C54" s="12" t="s">
        <v>1662</v>
      </c>
      <c r="D54" s="12" t="s">
        <v>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N62"/>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4" customWidth="1"/>
    <col min="4" max="4" width="40" customWidth="1"/>
    <col min="5" max="5" width="50" customWidth="1"/>
    <col min="6" max="7" width="30" customWidth="1"/>
    <col min="8" max="9" width="12" customWidth="1"/>
    <col min="10" max="10" width="14" customWidth="1"/>
    <col min="11" max="11" width="12" customWidth="1"/>
    <col min="12" max="14" width="14" customWidth="1"/>
  </cols>
  <sheetData>
    <row r="1" ht="30" customHeight="1" spans="1:14" x14ac:dyDescent="0.25">
      <c r="A1" s="5" t="s">
        <v>1663</v>
      </c>
      <c r="B1" s="5" t="s">
        <v>64</v>
      </c>
      <c r="C1" s="5" t="s">
        <v>21</v>
      </c>
      <c r="D1" s="5" t="s">
        <v>1664</v>
      </c>
      <c r="E1" s="5" t="s">
        <v>1665</v>
      </c>
      <c r="F1" s="5" t="s">
        <v>1666</v>
      </c>
      <c r="G1" s="5" t="s">
        <v>1667</v>
      </c>
      <c r="H1" s="5" t="s">
        <v>1668</v>
      </c>
      <c r="I1" s="5" t="s">
        <v>74</v>
      </c>
      <c r="J1" s="5" t="s">
        <v>1669</v>
      </c>
      <c r="K1" s="5" t="s">
        <v>1670</v>
      </c>
      <c r="L1" s="5" t="s">
        <v>1671</v>
      </c>
      <c r="M1" s="5" t="s">
        <v>1672</v>
      </c>
      <c r="N1" s="5" t="s">
        <v>1673</v>
      </c>
    </row>
    <row r="2" spans="1:14" x14ac:dyDescent="0.25">
      <c r="A2" s="15" t="s">
        <v>1674</v>
      </c>
      <c r="B2" s="15" t="s">
        <v>1028</v>
      </c>
      <c r="C2" s="15" t="s">
        <v>38</v>
      </c>
      <c r="D2" s="15" t="s">
        <v>1675</v>
      </c>
      <c r="E2" s="15" t="s">
        <v>1676</v>
      </c>
      <c r="F2" s="15" t="s">
        <v>1677</v>
      </c>
      <c r="G2" s="15" t="s">
        <v>1678</v>
      </c>
      <c r="H2" s="15" t="s">
        <v>1679</v>
      </c>
      <c r="I2" s="15" t="s">
        <v>1680</v>
      </c>
      <c r="J2" s="15" t="s">
        <v>75</v>
      </c>
      <c r="K2" s="16">
        <v>46286</v>
      </c>
      <c r="L2" s="15" t="s">
        <v>1681</v>
      </c>
      <c r="M2" s="15" t="s">
        <v>1</v>
      </c>
      <c r="N2" s="15" t="s">
        <v>1</v>
      </c>
    </row>
    <row r="3" spans="8:9" x14ac:dyDescent="0.25"/>
    <row r="4" spans="8:9" x14ac:dyDescent="0.25"/>
    <row r="5" spans="8:9" x14ac:dyDescent="0.25"/>
    <row r="6" spans="8:9" x14ac:dyDescent="0.25"/>
    <row r="7" spans="8:9" x14ac:dyDescent="0.25"/>
    <row r="8" spans="8:9" x14ac:dyDescent="0.25"/>
    <row r="9" spans="8:9" x14ac:dyDescent="0.25"/>
    <row r="10" spans="8:9" x14ac:dyDescent="0.25"/>
    <row r="11" spans="8:9" x14ac:dyDescent="0.25"/>
    <row r="12" spans="8:9" x14ac:dyDescent="0.25"/>
    <row r="13" spans="8:9" x14ac:dyDescent="0.25"/>
    <row r="14" spans="8:9" x14ac:dyDescent="0.25"/>
    <row r="15" spans="8:9" x14ac:dyDescent="0.25"/>
    <row r="16" spans="8:9" x14ac:dyDescent="0.25"/>
    <row r="17" spans="8:9" x14ac:dyDescent="0.25"/>
    <row r="18" spans="8:9" x14ac:dyDescent="0.25"/>
    <row r="19" spans="8:9" x14ac:dyDescent="0.25"/>
    <row r="20" spans="8:9" x14ac:dyDescent="0.25"/>
    <row r="21" spans="8:9" x14ac:dyDescent="0.25"/>
    <row r="22" spans="8:9" x14ac:dyDescent="0.25"/>
    <row r="23" spans="8:9" x14ac:dyDescent="0.25"/>
    <row r="24" spans="8:9" x14ac:dyDescent="0.25"/>
    <row r="25" spans="8:9" x14ac:dyDescent="0.25"/>
    <row r="26" spans="8:9" x14ac:dyDescent="0.25"/>
    <row r="27" spans="8:9" x14ac:dyDescent="0.25"/>
    <row r="28" spans="8:9" x14ac:dyDescent="0.25"/>
    <row r="29" spans="8:9" x14ac:dyDescent="0.25"/>
    <row r="30" spans="8:9" x14ac:dyDescent="0.25"/>
    <row r="31" spans="8:9" x14ac:dyDescent="0.25"/>
    <row r="32" spans="8:9" x14ac:dyDescent="0.25"/>
    <row r="33" spans="8:9" x14ac:dyDescent="0.25"/>
    <row r="34" spans="8:9" x14ac:dyDescent="0.25"/>
    <row r="35" spans="8:9" x14ac:dyDescent="0.25"/>
    <row r="36" spans="8:9" x14ac:dyDescent="0.25"/>
    <row r="37" spans="8:9" x14ac:dyDescent="0.25"/>
    <row r="38" spans="8:9" x14ac:dyDescent="0.25"/>
    <row r="39" spans="8:9" x14ac:dyDescent="0.25"/>
    <row r="40" spans="8:9" x14ac:dyDescent="0.25"/>
    <row r="41" spans="8:9" x14ac:dyDescent="0.25"/>
    <row r="42" spans="8:9" x14ac:dyDescent="0.25"/>
    <row r="43" spans="8:9" x14ac:dyDescent="0.25"/>
    <row r="44" spans="8:9" x14ac:dyDescent="0.25"/>
    <row r="45" spans="8:9" x14ac:dyDescent="0.25"/>
    <row r="46" spans="8:9" x14ac:dyDescent="0.25"/>
    <row r="47" spans="8:9" x14ac:dyDescent="0.25"/>
    <row r="48" spans="8:9" x14ac:dyDescent="0.25"/>
    <row r="49" spans="8:9" x14ac:dyDescent="0.25"/>
    <row r="50" spans="8:9" x14ac:dyDescent="0.25"/>
    <row r="51" spans="8:9" x14ac:dyDescent="0.25"/>
    <row r="52" spans="8:9" x14ac:dyDescent="0.25"/>
    <row r="53" spans="8:9" x14ac:dyDescent="0.25"/>
    <row r="54" spans="8:9" x14ac:dyDescent="0.25"/>
    <row r="55" spans="8:9" x14ac:dyDescent="0.25"/>
    <row r="56" spans="8:9" x14ac:dyDescent="0.25"/>
    <row r="57" spans="8:9" x14ac:dyDescent="0.25"/>
    <row r="58" spans="8:9" x14ac:dyDescent="0.25"/>
    <row r="59" spans="8:9" x14ac:dyDescent="0.25"/>
    <row r="60" spans="8:9" x14ac:dyDescent="0.25"/>
    <row r="61" spans="8:9" x14ac:dyDescent="0.25"/>
    <row r="62" spans="8:9" x14ac:dyDescent="0.25"/>
  </sheetData>
  <dataValidations count="4">
    <dataValidation type="list" sqref="H10:H62">
      <formula1>"Critical,High,Medium,Low"</formula1>
    </dataValidation>
    <dataValidation type="list" sqref="H2:H62">
      <formula1>"Critical,High,Medium,Low"</formula1>
    </dataValidation>
    <dataValidation type="list" sqref="I10:I62">
      <formula1>"Open,In Progress,Fixed,Retest,Closed,Rejected"</formula1>
    </dataValidation>
    <dataValidation type="list" sqref="I2:I62">
      <formula1>"Open,In Progress,Fixed,Retest,Closed,Rejected"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Summary</vt:lpstr>
      <vt:lpstr>Test Cases</vt:lpstr>
      <vt:lpstr>Test Data</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dc:creator>
  <dc:title/>
  <dc:subject/>
  <dc:description/>
  <cp:keywords/>
  <cp:category/>
  <cp:lastModifiedBy>Unknown</cp:lastModifiedBy>
  <dcterms:created xsi:type="dcterms:W3CDTF">2026-09-21T15:17:55Z</dcterms:created>
  <dcterms:modified xsi:type="dcterms:W3CDTF">2026-09-21T15:17:55Z</dcterms:modified>
</cp:coreProperties>
</file>