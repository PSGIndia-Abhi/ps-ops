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oices" state="visible" r:id="rId4"/>
    <sheet sheetId="2" name="Test Plan" state="visible" r:id="rId5"/>
    <sheet sheetId="3" name="Payments to Record" state="visible" r:id="rId6"/>
    <sheet sheetId="4" name="Payment Lines" state="visible" r:id="rId7"/>
    <sheet sheetId="5" name="Customers" state="visible" r:id="rId8"/>
    <sheet sheetId="6" name="Read Me" state="visible" r:id="rId9"/>
  </sheets>
  <calcPr calcId="171027" fullCalcOnLoad="1"/>
</workbook>
</file>

<file path=xl/sharedStrings.xml><?xml version="1.0" encoding="utf-8"?>
<sst xmlns="http://schemas.openxmlformats.org/spreadsheetml/2006/main" count="637" uniqueCount="330">
  <si>
    <t>Invoice No</t>
  </si>
  <si>
    <t>Customer</t>
  </si>
  <si>
    <t>Site</t>
  </si>
  <si>
    <t>Invoice Date</t>
  </si>
  <si>
    <t>Due Date</t>
  </si>
  <si>
    <t>Amount</t>
  </si>
  <si>
    <t>Remarks</t>
  </si>
  <si>
    <t>ALL-2026-001</t>
  </si>
  <si>
    <t>Bluewave Hotels Pvt Ltd</t>
  </si>
  <si>
    <t>Bluewave - Indiranagar</t>
  </si>
  <si>
    <t>TDS 2% | not due (in 20 days) | nothing paid</t>
  </si>
  <si>
    <t>ALL-2026-002</t>
  </si>
  <si>
    <t>Kaveri Tech Park LLP</t>
  </si>
  <si>
    <t>Kaveri - Block 1</t>
  </si>
  <si>
    <t>TDS 10% | not due (in 25 days) | partial cash + TDS</t>
  </si>
  <si>
    <t>ALL-2026-003</t>
  </si>
  <si>
    <t>Green Meadow School</t>
  </si>
  <si>
    <t>Green Meadow - Main Campus</t>
  </si>
  <si>
    <t>TDS 1.5% | not due (in 30 days) | nothing paid</t>
  </si>
  <si>
    <t>ALL-2026-004</t>
  </si>
  <si>
    <t>Sunrise Apartments Owners Assn</t>
  </si>
  <si>
    <t>Sunrise - Tower A</t>
  </si>
  <si>
    <t>No TDS customer | not due | nothing paid</t>
  </si>
  <si>
    <t>ALL-2026-005</t>
  </si>
  <si>
    <t>Café Zoë &amp; Sons (Pvt) Ltd</t>
  </si>
  <si>
    <t>Café Zoë - Main Outlet</t>
  </si>
  <si>
    <t>No TDS customer | decimals | nothing paid</t>
  </si>
  <si>
    <t>ALL-2026-006</t>
  </si>
  <si>
    <t>Bluewave - Whitefield</t>
  </si>
  <si>
    <t>TDS 2% | OVERDUE 110 days | nothing paid</t>
  </si>
  <si>
    <t>ALL-2026-007</t>
  </si>
  <si>
    <t>Kaveri - Block 2</t>
  </si>
  <si>
    <t>TDS 10% | OVERDUE 60 days | nothing paid</t>
  </si>
  <si>
    <t>ALL-2026-008</t>
  </si>
  <si>
    <t>Lotus Diagnostics Centre</t>
  </si>
  <si>
    <t>Lotus - Jayanagar Lab</t>
  </si>
  <si>
    <t>TDS 2% | OVERDUE 30 days | nothing paid</t>
  </si>
  <si>
    <t>ALL-2026-009</t>
  </si>
  <si>
    <t>Green Meadow - Annex</t>
  </si>
  <si>
    <t>TDS 1.5% | OVERDUE 10 days | nothing paid</t>
  </si>
  <si>
    <t>ALL-2026-010</t>
  </si>
  <si>
    <t>Sunrise - Tower B</t>
  </si>
  <si>
    <t>No TDS customer | OVERDUE by 1 day</t>
  </si>
  <si>
    <t>ALL-2026-011</t>
  </si>
  <si>
    <t>Café Zoë - Kiosk 2</t>
  </si>
  <si>
    <t>No TDS customer | OVERDUE 45 days</t>
  </si>
  <si>
    <t>ALL-2026-012</t>
  </si>
  <si>
    <t>Lotus - HSR Lab</t>
  </si>
  <si>
    <t>Due TODAY | TDS 2%</t>
  </si>
  <si>
    <t>ALL-2026-013</t>
  </si>
  <si>
    <t>Bluewave - Koramangala</t>
  </si>
  <si>
    <t>Due tomorrow | TDS 2%</t>
  </si>
  <si>
    <t>ALL-2026-014</t>
  </si>
  <si>
    <t>Kaveri - Food Court</t>
  </si>
  <si>
    <t>Due in 5 days | TDS 10%</t>
  </si>
  <si>
    <t>ALL-2026-015</t>
  </si>
  <si>
    <t>Sunrise - Clubhouse</t>
  </si>
  <si>
    <t>Due in exactly 7 days (last day of 'this week')</t>
  </si>
  <si>
    <t>ALL-2026-016</t>
  </si>
  <si>
    <t>Due in 8 days (just outside 'this week')</t>
  </si>
  <si>
    <t>ALL-2026-017</t>
  </si>
  <si>
    <t>Due in exactly 30 days (last day of 'this month')</t>
  </si>
  <si>
    <t>ALL-2026-018</t>
  </si>
  <si>
    <t>Due in 31 days (outside 'this month')</t>
  </si>
  <si>
    <t>ALL-2026-019</t>
  </si>
  <si>
    <t>Due in 90 days | big amount | TDS 2%</t>
  </si>
  <si>
    <t>ALL-2026-020</t>
  </si>
  <si>
    <t>PAY: cash + TDS settle it (overdue date, but paid)</t>
  </si>
  <si>
    <t>ALL-2026-021</t>
  </si>
  <si>
    <t>PAY: cash + 10% TDS settle it</t>
  </si>
  <si>
    <t>ALL-2026-022</t>
  </si>
  <si>
    <t>PAY: cash + 1.5% TDS settle it</t>
  </si>
  <si>
    <t>ALL-2026-023</t>
  </si>
  <si>
    <t>PAY: full cash, NO TDS deducted, then previous TDS later</t>
  </si>
  <si>
    <t>ALL-2026-024</t>
  </si>
  <si>
    <t>PAY: full cash, no TDS, previous TDS later</t>
  </si>
  <si>
    <t>ALL-2026-025</t>
  </si>
  <si>
    <t>PAY: partial cash on an OVERDUE invoice</t>
  </si>
  <si>
    <t>ALL-2026-026</t>
  </si>
  <si>
    <t>PAY: partial with TDS, finished by a second payment</t>
  </si>
  <si>
    <t>ALL-2026-027</t>
  </si>
  <si>
    <t>PAY: non-TDS customer, two part-payments</t>
  </si>
  <si>
    <t>ALL-2026-028</t>
  </si>
  <si>
    <t>PAY: one payment for 3 invoices (invoice 1 of 3)</t>
  </si>
  <si>
    <t>ALL-2026-029</t>
  </si>
  <si>
    <t>PAY: one payment for 3 invoices (invoice 2 of 3)</t>
  </si>
  <si>
    <t>ALL-2026-030</t>
  </si>
  <si>
    <t>PAY: one payment for 3 invoices (invoice 3 of 3, part paid)</t>
  </si>
  <si>
    <t>ALL-2026-031</t>
  </si>
  <si>
    <t>PAY: advance - customer sends more cash than the invoice</t>
  </si>
  <si>
    <t>ALL-2026-032</t>
  </si>
  <si>
    <t>CANCEL: cancel an unpaid invoice</t>
  </si>
  <si>
    <t>ALL-2026-033</t>
  </si>
  <si>
    <t>PAY then TRY to cancel (must be blocked)</t>
  </si>
  <si>
    <t>ALL-2026-034</t>
  </si>
  <si>
    <t>PAY: rounding - TDS 666.66</t>
  </si>
  <si>
    <t>ALL-2026-035</t>
  </si>
  <si>
    <t>PAY: rounding - TDS 4,567.89</t>
  </si>
  <si>
    <t>ALL-2026-036</t>
  </si>
  <si>
    <t>PAY: rounding - TDS 24.69</t>
  </si>
  <si>
    <t>ALL-2026-037</t>
  </si>
  <si>
    <t>PAY: rounding - TDS 131.26</t>
  </si>
  <si>
    <t>ALL-2026-038</t>
  </si>
  <si>
    <t>PAY: smallest amount</t>
  </si>
  <si>
    <t>ALL-2026-039</t>
  </si>
  <si>
    <t>Large amount | TDS 10% = 999,999.95</t>
  </si>
  <si>
    <t>ALL-2026-040</t>
  </si>
  <si>
    <t>Very old invoice, OVERDUE 200 days</t>
  </si>
  <si>
    <t>ALL-2026-041</t>
  </si>
  <si>
    <t>BWH01</t>
  </si>
  <si>
    <t>Customer typed as CODE (BWH01) | TDS 2%</t>
  </si>
  <si>
    <t>ALL-2026-042</t>
  </si>
  <si>
    <t xml:space="preserve">  BLUEWAVE HOTELS PVT LTD </t>
  </si>
  <si>
    <t>bluewave - whitefield</t>
  </si>
  <si>
    <t>Customer in capitals with spaces, site in lower case</t>
  </si>
  <si>
    <t>Test plan: what each invoice in the 'Invoices' sheet is for, and what you should see (numbers are calculated)</t>
  </si>
  <si>
    <t>Reference date (today of the test)</t>
  </si>
  <si>
    <t>Case</t>
  </si>
  <si>
    <t>Scenario</t>
  </si>
  <si>
    <t>TDS rate %</t>
  </si>
  <si>
    <t>Due date</t>
  </si>
  <si>
    <t>Days late (+) / left (-)</t>
  </si>
  <si>
    <t>Status right after upload</t>
  </si>
  <si>
    <t>Amount (Rs)</t>
  </si>
  <si>
    <t>Expected TDS (Rs)</t>
  </si>
  <si>
    <t>Cash paid (Rs)</t>
  </si>
  <si>
    <t>TDS deducted (Rs)</t>
  </si>
  <si>
    <t>Settled (Rs)</t>
  </si>
  <si>
    <t>Pending after payments (Rs)</t>
  </si>
  <si>
    <t>Final invoice status</t>
  </si>
  <si>
    <t>TDS pending (Rs)</t>
  </si>
  <si>
    <t>Final TDS status</t>
  </si>
  <si>
    <t>Payments</t>
  </si>
  <si>
    <t>What to do</t>
  </si>
  <si>
    <t>Later action</t>
  </si>
  <si>
    <t>Leave unpaid. Expect PENDING, TDS 1,000 pending.</t>
  </si>
  <si>
    <t/>
  </si>
  <si>
    <t>Pay cash 27,000 + TDS 3,000 (P18): PARTIAL, TDS PARTIAL.</t>
  </si>
  <si>
    <t>Leave unpaid. Expect PENDING, TDS 412.50 pending.</t>
  </si>
  <si>
    <t>Leave unpaid. Expect PENDING, TDS not applicable.</t>
  </si>
  <si>
    <t>Leave unpaid. Amount shows Rs 8,750.75.</t>
  </si>
  <si>
    <t>Leave unpaid. Expect OVERDUE, 110 days late.</t>
  </si>
  <si>
    <t>Leave unpaid. Expect OVERDUE, TDS 15,000 pending.</t>
  </si>
  <si>
    <t>Leave unpaid. Expect OVERDUE.</t>
  </si>
  <si>
    <t>Leave unpaid. Expect OVERDUE, TDS 500.10.</t>
  </si>
  <si>
    <t>Leave unpaid. Expect OVERDUE (1 day late).</t>
  </si>
  <si>
    <t>Leave unpaid. Expect PENDING (not overdue), counts under Due Today.</t>
  </si>
  <si>
    <t>Leave unpaid. Due this week.</t>
  </si>
  <si>
    <t>Leave unpaid. Counted in Due This Week.</t>
  </si>
  <si>
    <t>Leave unpaid. Counted in Due This Month, not This Week.</t>
  </si>
  <si>
    <t>Leave unpaid. Counted in Due This Month.</t>
  </si>
  <si>
    <t>Leave unpaid. Not in Due This Month.</t>
  </si>
  <si>
    <t>Leave unpaid. Expect PENDING, TDS 5,000.</t>
  </si>
  <si>
    <t>Record P01: cash 49,000 + TDS 1,000. Expect PAID, TDS CLEARED.</t>
  </si>
  <si>
    <t>Record P02: cash 90,000 + TDS 10,000. Expect PAID, TDS CLEARED.</t>
  </si>
  <si>
    <t>Record P03: cash 39,400 + TDS 600. Expect PAID, TDS CLEARED.</t>
  </si>
  <si>
    <t>P04 cash 30,000 (PAID, TDS PENDING 600). Later P17 adds previous TDS 600: TDS CLEARED, invoice stays PAID.</t>
  </si>
  <si>
    <t>P05 cash 20,000 (PAID, TDS PENDING 2,000). Later P18 adds previous TDS 2,000.</t>
  </si>
  <si>
    <t>Record P06: cash 20,000. Expect OVERDUE (not paid), pending 40,000, TDS PENDING.</t>
  </si>
  <si>
    <t>P07 cash 29,400 + TDS 600 (PARTIAL). Later P17 cash 9,800 + TDS 200: PAID, TDS CLEARED.</t>
  </si>
  <si>
    <t>P08 cash 10,000 (PARTIAL). Later P19 cash 15,000: PAID.</t>
  </si>
  <si>
    <t>P09 line 1: cash 19,600 + TDS 400. Expect PAID.</t>
  </si>
  <si>
    <t>P09 line 2: cash 29,400 + TDS 600. Expect PAID.</t>
  </si>
  <si>
    <t>P09 line 3: cash 5,000 + TDS 200. Expect PARTIAL, pending 4,800, TDS CLEARED.</t>
  </si>
  <si>
    <t>P10: type cash 20,000, allocate 14,700 + TDS 300. Payment shows 5,300 unallocated.</t>
  </si>
  <si>
    <t>Cancel this invoice. Expect CANCELLED and excluded from totals.</t>
  </si>
  <si>
    <t>CANCEL</t>
  </si>
  <si>
    <t>P11 cash 7,000 (PAID). Then try Cancel: 'Cannot cancel an invoice that already has payments'.</t>
  </si>
  <si>
    <t>P12 cash 32,666.34 + TDS 666.66. Expect PAID.</t>
  </si>
  <si>
    <t>P13 cash 41,111.01 + TDS 4,567.89. Expect PAID.</t>
  </si>
  <si>
    <t>P14 cash 1,209.87 + TDS 24.69. Expect PAID.</t>
  </si>
  <si>
    <t>P15 cash 8,619.49 + TDS 131.26. Expect PAID.</t>
  </si>
  <si>
    <t>P16 cash 0.01. Expect PAID.</t>
  </si>
  <si>
    <t>Leave unpaid. Check big numbers display correctly.</t>
  </si>
  <si>
    <t>Leave unpaid. Expect OVERDUE, oldest due.</t>
  </si>
  <si>
    <t>Leave unpaid. Must import and show Bluewave, TDS 220.</t>
  </si>
  <si>
    <t>Leave unpaid. Must import and show Bluewave, TDS 240.</t>
  </si>
  <si>
    <t>Summary (final state after all payments and the cancel)</t>
  </si>
  <si>
    <t>PAID</t>
  </si>
  <si>
    <t>PARTIAL</t>
  </si>
  <si>
    <t>OVERDUE</t>
  </si>
  <si>
    <t>PENDING</t>
  </si>
  <si>
    <t>CANCELLED</t>
  </si>
  <si>
    <t>TDS CLEARED</t>
  </si>
  <si>
    <t>TDS PARTIAL</t>
  </si>
  <si>
    <t>TDS PENDING</t>
  </si>
  <si>
    <t>TDS NOT_APPLICABLE</t>
  </si>
  <si>
    <t>Invoices total</t>
  </si>
  <si>
    <t>Total amount (Rs)</t>
  </si>
  <si>
    <t>Status right after upload: OVERDUE</t>
  </si>
  <si>
    <t>Status right after upload: PENDING</t>
  </si>
  <si>
    <t>Record these payments in this order (Accountant &gt; Payments &gt; Record Payment). Payment date can be any date; the reference date is on the Test Plan sheet.</t>
  </si>
  <si>
    <t>Order</t>
  </si>
  <si>
    <t>Payment ID</t>
  </si>
  <si>
    <t>Payment date</t>
  </si>
  <si>
    <t>Payment mode</t>
  </si>
  <si>
    <t>Reference / UTR</t>
  </si>
  <si>
    <t>Cash received to TYPE (Rs)</t>
  </si>
  <si>
    <t>Extra cash not allocated (Rs)</t>
  </si>
  <si>
    <t>Total TDS (Rs)</t>
  </si>
  <si>
    <t>Total settlement (Rs)</t>
  </si>
  <si>
    <t>Unallocated in list (Rs)</t>
  </si>
  <si>
    <t>Invoices in payment</t>
  </si>
  <si>
    <t>Note</t>
  </si>
  <si>
    <t>P01</t>
  </si>
  <si>
    <t>NEFT</t>
  </si>
  <si>
    <t>UTR-ALL-P01</t>
  </si>
  <si>
    <t>Round 1</t>
  </si>
  <si>
    <t>P02</t>
  </si>
  <si>
    <t>UTR-ALL-P02</t>
  </si>
  <si>
    <t>P03</t>
  </si>
  <si>
    <t>UPI</t>
  </si>
  <si>
    <t>UTR-ALL-P03</t>
  </si>
  <si>
    <t>P04</t>
  </si>
  <si>
    <t>BANK_TRANSFER</t>
  </si>
  <si>
    <t>UTR-ALL-P04</t>
  </si>
  <si>
    <t>P05</t>
  </si>
  <si>
    <t>CHEQUE</t>
  </si>
  <si>
    <t>CHQ-ALL-P05</t>
  </si>
  <si>
    <t>P06</t>
  </si>
  <si>
    <t>UTR-ALL-P06</t>
  </si>
  <si>
    <t>P07</t>
  </si>
  <si>
    <t>UTR-ALL-P07</t>
  </si>
  <si>
    <t>P08</t>
  </si>
  <si>
    <t>UTR-ALL-P08</t>
  </si>
  <si>
    <t>P09</t>
  </si>
  <si>
    <t>UTR-ALL-P09</t>
  </si>
  <si>
    <t>One payment, three invoices</t>
  </si>
  <si>
    <t>P10</t>
  </si>
  <si>
    <t>CARD</t>
  </si>
  <si>
    <t>CARD-ALL-P10</t>
  </si>
  <si>
    <t>Advance: cash typed 20,000</t>
  </si>
  <si>
    <t>P11</t>
  </si>
  <si>
    <t>CASH</t>
  </si>
  <si>
    <t>RCPT-ALL-P11</t>
  </si>
  <si>
    <t>P12</t>
  </si>
  <si>
    <t>UTR-ALL-P12</t>
  </si>
  <si>
    <t>Rounding</t>
  </si>
  <si>
    <t>P13</t>
  </si>
  <si>
    <t>UTR-ALL-P13</t>
  </si>
  <si>
    <t>P14</t>
  </si>
  <si>
    <t>UTR-ALL-P14</t>
  </si>
  <si>
    <t>P15</t>
  </si>
  <si>
    <t>UTR-ALL-P15</t>
  </si>
  <si>
    <t>P16</t>
  </si>
  <si>
    <t>RCPT-ALL-P16</t>
  </si>
  <si>
    <t>Smallest amount</t>
  </si>
  <si>
    <t>P17</t>
  </si>
  <si>
    <t>UTR-ALL-P17</t>
  </si>
  <si>
    <t>Round 2: finishes one invoice + previous TDS</t>
  </si>
  <si>
    <t>P18</t>
  </si>
  <si>
    <t>UTR-ALL-P18</t>
  </si>
  <si>
    <t>Round 2: partial + previous TDS</t>
  </si>
  <si>
    <t>P19</t>
  </si>
  <si>
    <t>UTR-ALL-P19</t>
  </si>
  <si>
    <t>Round 2</t>
  </si>
  <si>
    <t>TOTAL</t>
  </si>
  <si>
    <t>What to type on each payment (one line per invoice in the payment)</t>
  </si>
  <si>
    <t>Cash (Rs)</t>
  </si>
  <si>
    <t>TDS (Rs)</t>
  </si>
  <si>
    <t>Type</t>
  </si>
  <si>
    <t>CURRENT</t>
  </si>
  <si>
    <t>no TDS deducted</t>
  </si>
  <si>
    <t>partial, invoice is overdue</t>
  </si>
  <si>
    <t>partial</t>
  </si>
  <si>
    <t>partial, no TDS customer</t>
  </si>
  <si>
    <t>line 1 of 3</t>
  </si>
  <si>
    <t>line 2 of 3</t>
  </si>
  <si>
    <t>line 3 of 3, part paid</t>
  </si>
  <si>
    <t>cash typed is 20,000; 5,300 stays unallocated</t>
  </si>
  <si>
    <t>second payment finishes the invoice</t>
  </si>
  <si>
    <t>PREVIOUS</t>
  </si>
  <si>
    <t>previous TDS on an invoice already paid in cash</t>
  </si>
  <si>
    <t>partial with TDS on a big invoice</t>
  </si>
  <si>
    <t>second part-payment finishes the invoice</t>
  </si>
  <si>
    <t>Customers used in this file (already created in the test database)</t>
  </si>
  <si>
    <t>ID</t>
  </si>
  <si>
    <t>Customer name</t>
  </si>
  <si>
    <t>Customer code</t>
  </si>
  <si>
    <t>TDS applicable</t>
  </si>
  <si>
    <t>Notes</t>
  </si>
  <si>
    <t>C01</t>
  </si>
  <si>
    <t>Yes</t>
  </si>
  <si>
    <t>used in the Invoices sheet</t>
  </si>
  <si>
    <t>C02</t>
  </si>
  <si>
    <t>SAO02</t>
  </si>
  <si>
    <t>No</t>
  </si>
  <si>
    <t>C03</t>
  </si>
  <si>
    <t>KTP03</t>
  </si>
  <si>
    <t>C04</t>
  </si>
  <si>
    <t>GMS04</t>
  </si>
  <si>
    <t>C05</t>
  </si>
  <si>
    <t>LDC05</t>
  </si>
  <si>
    <t>C06</t>
  </si>
  <si>
    <t>CZS06</t>
  </si>
  <si>
    <t>C07</t>
  </si>
  <si>
    <t>Twin Traders</t>
  </si>
  <si>
    <t>TWN07A</t>
  </si>
  <si>
    <t>not used in this file</t>
  </si>
  <si>
    <t>C08</t>
  </si>
  <si>
    <t>TWN07B</t>
  </si>
  <si>
    <t>C09</t>
  </si>
  <si>
    <t>Dormant Stores Ltd</t>
  </si>
  <si>
    <t>DRM09</t>
  </si>
  <si>
    <t>No (inactive)</t>
  </si>
  <si>
    <t>C10</t>
  </si>
  <si>
    <t>Southern Foods Co</t>
  </si>
  <si>
    <t>SFC10</t>
  </si>
  <si>
    <t>No (other branch)</t>
  </si>
  <si>
    <t>Invoice upload - ALL CASES</t>
  </si>
  <si>
    <t>What this is</t>
  </si>
  <si>
    <t>One file that covers every case: TDS 2% / 10% / 1.5% customers and no-TDS customers, invoices that are overdue (1 to 200 days), due today, due this week / month, not yet due, payments (full, partial, TDS deducted, TDS missed then added later, one payment for many invoices, advance), cancel, rounding, small and large amounts. Every cell is filled. All data is random.</t>
  </si>
  <si>
    <t>Sheet 'Invoices'</t>
  </si>
  <si>
    <t>The file to UPLOAD. It is the first sheet and has exactly the template columns (Invoice No, Customer, Site, Invoice Date, Due Date, Amount, Remarks). The other sheets are only for you; the importer reads the first sheet only.</t>
  </si>
  <si>
    <t>Before you upload</t>
  </si>
  <si>
    <t>The customers and sites in this file were added to the test database (codes BWH01, SAO02, KTP03, GMS04, LDC05, CZS06). TDS rates are already set: Bluewave 2%, Kaveri 10%, Green Meadow 1.5%, Lotus 2%; Sunrise and Cafe Zoe have no TDS.</t>
  </si>
  <si>
    <t>Step 1 - upload</t>
  </si>
  <si>
    <t>Invoice Upload &gt; choose this file &gt; Upload &amp; Validate. Review &amp; Validate should show 42 total, 42 valid, 0 errors. Click Submit.</t>
  </si>
  <si>
    <t>Step 2 - check</t>
  </si>
  <si>
    <t>Invoice List: 11 invoices are past their due date and show OVERDUE, the other 31 show PENDING (see 'Test Plan' column 'Status right after upload'). Also compare 'Expected TDS'.</t>
  </si>
  <si>
    <t>Step 3 - record payments</t>
  </si>
  <si>
    <t>Follow 'Payments to Record' in order (P01 to P19). The 'Payment Lines' sheet gives the cash and TDS to type on each invoice. Round 2 payments (P17-P19) must come after round 1.</t>
  </si>
  <si>
    <t>Step 4 - compare</t>
  </si>
  <si>
    <t>After the payments, the 'Test Plan' sheet shows the final status, pending amount and TDS for every invoice. The Summary at the bottom gives the expected counts (PAID, PARTIAL, OVERDUE, PENDING, CANCELLED).</t>
  </si>
  <si>
    <t>Cancel</t>
  </si>
  <si>
    <t>Case 32 (ALL-2026-032): cancel it from its details page, do not pay it. Case 33 (ALL-2026-033): after payment P11, try to cancel it - the app must refuse.</t>
  </si>
  <si>
    <t>Reference date</t>
  </si>
  <si>
    <t>Days late/left and OVERDUE are worked out from the reference date on 'Test Plan' cell B2 (20/09/2026). If you test on a later day, invoices get older: change B2 to today and the expected numbers update. The due dates in the Invoices sheet are fixed.</t>
  </si>
  <si>
    <t>Submitting twice</t>
  </si>
  <si>
    <t>Uploading this file a second time makes every row a duplicate ('already has this invoice'). Use it once, or delete the invoices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</si>
</sst>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9" x14ac:knownFonts="1">
    <font>
      <color theme="1"/>
      <family val="2"/>
      <scheme val="minor"/>
      <sz val="11"/>
      <name val="Calibri"/>
    </font>
    <font>
      <b/>
    </font>
    <font>
      <b/>
      <color rgb="FF1F3864"/>
      <sz val="13"/>
      <name val="Arial"/>
    </font>
    <font>
      <b/>
      <sz val="10"/>
      <name val="Arial"/>
    </font>
    <font>
      <color rgb="FF0000FF"/>
      <sz val="10"/>
      <name val="Arial"/>
    </font>
    <font>
      <b/>
      <color rgb="FFFFFFFF"/>
      <sz val="10"/>
      <name val="Arial"/>
    </font>
    <font>
      <sz val="10"/>
      <name val="Arial"/>
    </font>
    <font>
      <b/>
      <sz val="11"/>
      <name val="Arial"/>
    </font>
    <font>
      <b/>
      <color rgb="FF1F3864"/>
      <sz val="14"/>
      <name val="Arial"/>
    </font>
  </fonts>
  <fills count="4">
    <fill>
      <patternFill patternType="none"/>
    </fill>
    <fill>
      <patternFill patternType="gray125"/>
    </fill>
    <fill>
      <patternFill patternType="solid">
        <fgColor rgb="FFFFFF00"/>
      </patternFill>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xf numFmtId="164" fontId="0" fillId="0" borderId="0" xfId="0" applyNumberFormat="1"/>
    <xf numFmtId="4" fontId="0" fillId="0" borderId="0" xfId="0" applyNumberFormat="1"/>
    <xf numFmtId="0" fontId="2" fillId="0" borderId="0" xfId="0" applyFont="1"/>
    <xf numFmtId="0" fontId="3" fillId="0" borderId="0" xfId="0" applyFont="1"/>
    <xf numFmtId="164" fontId="4" fillId="2" borderId="0" xfId="0" applyNumberFormat="1" applyFont="1" applyFill="1"/>
    <xf numFmtId="0" fontId="5" fillId="3" borderId="1" xfId="0" applyFont="1" applyFill="1" applyBorder="1" applyAlignment="1">
      <alignment horizontal="center" vertical="center" wrapText="1"/>
    </xf>
    <xf numFmtId="0" fontId="6" fillId="0" borderId="1" xfId="0" applyFont="1" applyBorder="1" applyAlignment="1">
      <alignment horizontal="center" vertical="top" wrapText="1"/>
    </xf>
    <xf numFmtId="0" fontId="6" fillId="0" borderId="1" xfId="0" applyFont="1" applyBorder="1" applyAlignment="1">
      <alignment vertical="top" wrapText="1"/>
    </xf>
    <xf numFmtId="164" fontId="6" fillId="0" borderId="1" xfId="0" applyNumberFormat="1" applyFont="1" applyBorder="1" applyAlignment="1">
      <alignment vertical="top" wrapText="1"/>
    </xf>
    <xf numFmtId="4" fontId="6" fillId="0" borderId="1" xfId="0" applyNumberFormat="1" applyFont="1" applyBorder="1" applyAlignment="1">
      <alignment vertical="top" wrapText="1"/>
    </xf>
    <xf numFmtId="0" fontId="6" fillId="0" borderId="1" xfId="0" applyFont="1" applyBorder="1"/>
    <xf numFmtId="0" fontId="3" fillId="0" borderId="1" xfId="0" applyFont="1" applyBorder="1" applyAlignment="1">
      <alignment horizontal="center"/>
    </xf>
    <xf numFmtId="4" fontId="3" fillId="0" borderId="1" xfId="0" applyNumberFormat="1" applyFont="1" applyBorder="1" applyAlignment="1">
      <alignment horizontal="center"/>
    </xf>
    <xf numFmtId="0" fontId="7" fillId="0" borderId="0" xfId="0" applyFont="1"/>
    <xf numFmtId="164" fontId="6" fillId="0" borderId="1" xfId="0" applyNumberFormat="1" applyFont="1" applyBorder="1" applyAlignment="1">
      <alignment horizontal="center" vertical="top" wrapText="1"/>
    </xf>
    <xf numFmtId="4" fontId="3" fillId="0" borderId="1" xfId="0" applyNumberFormat="1" applyFont="1" applyBorder="1" applyAlignment="1">
      <alignment vertical="top" wrapText="1"/>
    </xf>
    <xf numFmtId="4" fontId="4" fillId="0" borderId="1" xfId="0" applyNumberFormat="1" applyFont="1" applyBorder="1" applyAlignment="1">
      <alignment vertical="top" wrapText="1"/>
    </xf>
    <xf numFmtId="4" fontId="3" fillId="0" borderId="1" xfId="0" applyNumberFormat="1" applyFont="1" applyBorder="1"/>
    <xf numFmtId="0" fontId="8" fillId="0" borderId="0" xfId="0" applyFont="1" applyAlignment="1">
      <alignment vertical="top" wrapText="1"/>
    </xf>
    <xf numFmtId="0" fontId="6" fillId="0" borderId="0" xfId="0" applyFont="1" applyAlignment="1">
      <alignment vertical="top" wrapText="1"/>
    </xf>
    <xf numFmtId="0" fontId="3" fillId="0" borderId="0" xfId="0" applyFont="1" applyAlignment="1">
      <alignment vertical="top" wrapText="1"/>
    </xf>
  </cellXfs>
  <cellStyles count="1">
    <cellStyle name="Normal" xfId="0" builtinId="0"/>
  </cellStyles>
  <dxfs count="5">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595959"/>
      </font>
      <fill>
        <patternFill patternType="solid">
          <bgColor rgb="FFD9D9D9"/>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43"/>
  <sheetFormatPr defaultRowHeight="15" outlineLevelRow="0" outlineLevelCol="0" x14ac:dyDescent="55"/>
  <cols>
    <col min="1" max="6" width="22" customWidth="1"/>
    <col min="7" max="7" width="60"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s="2">
        <v>46275</v>
      </c>
      <c r="E2" s="2">
        <v>46305</v>
      </c>
      <c r="F2" s="3">
        <v>50000</v>
      </c>
      <c r="G2" t="s">
        <v>10</v>
      </c>
    </row>
    <row r="3" spans="1:7" x14ac:dyDescent="0.25">
      <c r="A3" t="s">
        <v>11</v>
      </c>
      <c r="B3" t="s">
        <v>12</v>
      </c>
      <c r="C3" t="s">
        <v>13</v>
      </c>
      <c r="D3" s="2">
        <v>46280</v>
      </c>
      <c r="E3" s="2">
        <v>46310</v>
      </c>
      <c r="F3" s="3">
        <v>100000</v>
      </c>
      <c r="G3" t="s">
        <v>14</v>
      </c>
    </row>
    <row r="4" spans="1:7" x14ac:dyDescent="0.25">
      <c r="A4" t="s">
        <v>15</v>
      </c>
      <c r="B4" t="s">
        <v>16</v>
      </c>
      <c r="C4" t="s">
        <v>17</v>
      </c>
      <c r="D4" s="2">
        <v>46280</v>
      </c>
      <c r="E4" s="2">
        <v>46315</v>
      </c>
      <c r="F4" s="3">
        <v>27500</v>
      </c>
      <c r="G4" t="s">
        <v>18</v>
      </c>
    </row>
    <row r="5" spans="1:7" x14ac:dyDescent="0.25">
      <c r="A5" t="s">
        <v>19</v>
      </c>
      <c r="B5" t="s">
        <v>20</v>
      </c>
      <c r="C5" t="s">
        <v>21</v>
      </c>
      <c r="D5" s="2">
        <v>46270</v>
      </c>
      <c r="E5" s="2">
        <v>46300</v>
      </c>
      <c r="F5" s="3">
        <v>12500</v>
      </c>
      <c r="G5" t="s">
        <v>22</v>
      </c>
    </row>
    <row r="6" spans="1:7" x14ac:dyDescent="0.25">
      <c r="A6" t="s">
        <v>23</v>
      </c>
      <c r="B6" t="s">
        <v>24</v>
      </c>
      <c r="C6" t="s">
        <v>25</v>
      </c>
      <c r="D6" s="2">
        <v>46282</v>
      </c>
      <c r="E6" s="2">
        <v>46330</v>
      </c>
      <c r="F6" s="3">
        <v>8750.75</v>
      </c>
      <c r="G6" t="s">
        <v>26</v>
      </c>
    </row>
    <row r="7" spans="1:7" x14ac:dyDescent="0.25">
      <c r="A7" t="s">
        <v>27</v>
      </c>
      <c r="B7" t="s">
        <v>8</v>
      </c>
      <c r="C7" t="s">
        <v>28</v>
      </c>
      <c r="D7" s="2">
        <v>46145</v>
      </c>
      <c r="E7" s="2">
        <v>46175</v>
      </c>
      <c r="F7" s="3">
        <v>80000</v>
      </c>
      <c r="G7" t="s">
        <v>29</v>
      </c>
    </row>
    <row r="8" spans="1:7" x14ac:dyDescent="0.25">
      <c r="A8" t="s">
        <v>30</v>
      </c>
      <c r="B8" t="s">
        <v>12</v>
      </c>
      <c r="C8" t="s">
        <v>31</v>
      </c>
      <c r="D8" s="2">
        <v>46195</v>
      </c>
      <c r="E8" s="2">
        <v>46225</v>
      </c>
      <c r="F8" s="3">
        <v>150000</v>
      </c>
      <c r="G8" t="s">
        <v>32</v>
      </c>
    </row>
    <row r="9" spans="1:7" x14ac:dyDescent="0.25">
      <c r="A9" t="s">
        <v>33</v>
      </c>
      <c r="B9" t="s">
        <v>34</v>
      </c>
      <c r="C9" t="s">
        <v>35</v>
      </c>
      <c r="D9" s="2">
        <v>46225</v>
      </c>
      <c r="E9" s="2">
        <v>46255</v>
      </c>
      <c r="F9" s="3">
        <v>45000</v>
      </c>
      <c r="G9" t="s">
        <v>36</v>
      </c>
    </row>
    <row r="10" spans="1:7" x14ac:dyDescent="0.25">
      <c r="A10" t="s">
        <v>37</v>
      </c>
      <c r="B10" t="s">
        <v>16</v>
      </c>
      <c r="C10" t="s">
        <v>38</v>
      </c>
      <c r="D10" s="2">
        <v>46245</v>
      </c>
      <c r="E10" s="2">
        <v>46275</v>
      </c>
      <c r="F10" s="3">
        <v>33340</v>
      </c>
      <c r="G10" t="s">
        <v>39</v>
      </c>
    </row>
    <row r="11" spans="1:7" x14ac:dyDescent="0.25">
      <c r="A11" t="s">
        <v>40</v>
      </c>
      <c r="B11" t="s">
        <v>20</v>
      </c>
      <c r="C11" t="s">
        <v>41</v>
      </c>
      <c r="D11" s="2">
        <v>46254</v>
      </c>
      <c r="E11" s="2">
        <v>46284</v>
      </c>
      <c r="F11" s="3">
        <v>18000</v>
      </c>
      <c r="G11" t="s">
        <v>42</v>
      </c>
    </row>
    <row r="12" spans="1:7" x14ac:dyDescent="0.25">
      <c r="A12" t="s">
        <v>43</v>
      </c>
      <c r="B12" t="s">
        <v>24</v>
      </c>
      <c r="C12" t="s">
        <v>44</v>
      </c>
      <c r="D12" s="2">
        <v>46210</v>
      </c>
      <c r="E12" s="2">
        <v>46240</v>
      </c>
      <c r="F12" s="3">
        <v>6400</v>
      </c>
      <c r="G12" t="s">
        <v>45</v>
      </c>
    </row>
    <row r="13" spans="1:7" x14ac:dyDescent="0.25">
      <c r="A13" t="s">
        <v>46</v>
      </c>
      <c r="B13" t="s">
        <v>34</v>
      </c>
      <c r="C13" t="s">
        <v>47</v>
      </c>
      <c r="D13" s="2">
        <v>46255</v>
      </c>
      <c r="E13" s="2">
        <v>46285</v>
      </c>
      <c r="F13" s="3">
        <v>27500</v>
      </c>
      <c r="G13" t="s">
        <v>48</v>
      </c>
    </row>
    <row r="14" spans="1:7" x14ac:dyDescent="0.25">
      <c r="A14" t="s">
        <v>49</v>
      </c>
      <c r="B14" t="s">
        <v>8</v>
      </c>
      <c r="C14" t="s">
        <v>50</v>
      </c>
      <c r="D14" s="2">
        <v>46256</v>
      </c>
      <c r="E14" s="2">
        <v>46286</v>
      </c>
      <c r="F14" s="3">
        <v>22000</v>
      </c>
      <c r="G14" t="s">
        <v>51</v>
      </c>
    </row>
    <row r="15" spans="1:7" x14ac:dyDescent="0.25">
      <c r="A15" t="s">
        <v>52</v>
      </c>
      <c r="B15" t="s">
        <v>12</v>
      </c>
      <c r="C15" t="s">
        <v>53</v>
      </c>
      <c r="D15" s="2">
        <v>46260</v>
      </c>
      <c r="E15" s="2">
        <v>46290</v>
      </c>
      <c r="F15" s="3">
        <v>60000</v>
      </c>
      <c r="G15" t="s">
        <v>54</v>
      </c>
    </row>
    <row r="16" spans="1:7" x14ac:dyDescent="0.25">
      <c r="A16" t="s">
        <v>55</v>
      </c>
      <c r="B16" t="s">
        <v>20</v>
      </c>
      <c r="C16" t="s">
        <v>56</v>
      </c>
      <c r="D16" s="2">
        <v>46262</v>
      </c>
      <c r="E16" s="2">
        <v>46292</v>
      </c>
      <c r="F16" s="3">
        <v>9500</v>
      </c>
      <c r="G16" t="s">
        <v>57</v>
      </c>
    </row>
    <row r="17" spans="1:7" x14ac:dyDescent="0.25">
      <c r="A17" t="s">
        <v>58</v>
      </c>
      <c r="B17" t="s">
        <v>16</v>
      </c>
      <c r="C17" t="s">
        <v>17</v>
      </c>
      <c r="D17" s="2">
        <v>46263</v>
      </c>
      <c r="E17" s="2">
        <v>46293</v>
      </c>
      <c r="F17" s="3">
        <v>14000</v>
      </c>
      <c r="G17" t="s">
        <v>59</v>
      </c>
    </row>
    <row r="18" spans="1:7" x14ac:dyDescent="0.25">
      <c r="A18" t="s">
        <v>60</v>
      </c>
      <c r="B18" t="s">
        <v>34</v>
      </c>
      <c r="C18" t="s">
        <v>35</v>
      </c>
      <c r="D18" s="2">
        <v>46282</v>
      </c>
      <c r="E18" s="2">
        <v>46315</v>
      </c>
      <c r="F18" s="3">
        <v>36000</v>
      </c>
      <c r="G18" t="s">
        <v>61</v>
      </c>
    </row>
    <row r="19" spans="1:7" x14ac:dyDescent="0.25">
      <c r="A19" t="s">
        <v>62</v>
      </c>
      <c r="B19" t="s">
        <v>24</v>
      </c>
      <c r="C19" t="s">
        <v>25</v>
      </c>
      <c r="D19" s="2">
        <v>46281</v>
      </c>
      <c r="E19" s="2">
        <v>46316</v>
      </c>
      <c r="F19" s="3">
        <v>5200</v>
      </c>
      <c r="G19" t="s">
        <v>63</v>
      </c>
    </row>
    <row r="20" spans="1:7" x14ac:dyDescent="0.25">
      <c r="A20" t="s">
        <v>64</v>
      </c>
      <c r="B20" t="s">
        <v>8</v>
      </c>
      <c r="C20" t="s">
        <v>9</v>
      </c>
      <c r="D20" s="2">
        <v>46280</v>
      </c>
      <c r="E20" s="2">
        <v>46375</v>
      </c>
      <c r="F20" s="3">
        <v>250000</v>
      </c>
      <c r="G20" t="s">
        <v>65</v>
      </c>
    </row>
    <row r="21" spans="1:7" x14ac:dyDescent="0.25">
      <c r="A21" t="s">
        <v>66</v>
      </c>
      <c r="B21" t="s">
        <v>8</v>
      </c>
      <c r="C21" t="s">
        <v>28</v>
      </c>
      <c r="D21" s="2">
        <v>46235</v>
      </c>
      <c r="E21" s="2">
        <v>46265</v>
      </c>
      <c r="F21" s="3">
        <v>50000</v>
      </c>
      <c r="G21" t="s">
        <v>67</v>
      </c>
    </row>
    <row r="22" spans="1:7" x14ac:dyDescent="0.25">
      <c r="A22" t="s">
        <v>68</v>
      </c>
      <c r="B22" t="s">
        <v>12</v>
      </c>
      <c r="C22" t="s">
        <v>13</v>
      </c>
      <c r="D22" s="2">
        <v>46250</v>
      </c>
      <c r="E22" s="2">
        <v>46280</v>
      </c>
      <c r="F22" s="3">
        <v>100000</v>
      </c>
      <c r="G22" t="s">
        <v>69</v>
      </c>
    </row>
    <row r="23" spans="1:7" x14ac:dyDescent="0.25">
      <c r="A23" t="s">
        <v>70</v>
      </c>
      <c r="B23" t="s">
        <v>16</v>
      </c>
      <c r="C23" t="s">
        <v>38</v>
      </c>
      <c r="D23" s="2">
        <v>46265</v>
      </c>
      <c r="E23" s="2">
        <v>46295</v>
      </c>
      <c r="F23" s="3">
        <v>40000</v>
      </c>
      <c r="G23" t="s">
        <v>71</v>
      </c>
    </row>
    <row r="24" spans="1:7" x14ac:dyDescent="0.25">
      <c r="A24" t="s">
        <v>72</v>
      </c>
      <c r="B24" t="s">
        <v>8</v>
      </c>
      <c r="C24" t="s">
        <v>50</v>
      </c>
      <c r="D24" s="2">
        <v>46240</v>
      </c>
      <c r="E24" s="2">
        <v>46270</v>
      </c>
      <c r="F24" s="3">
        <v>30000</v>
      </c>
      <c r="G24" t="s">
        <v>73</v>
      </c>
    </row>
    <row r="25" spans="1:7" x14ac:dyDescent="0.25">
      <c r="A25" t="s">
        <v>74</v>
      </c>
      <c r="B25" t="s">
        <v>12</v>
      </c>
      <c r="C25" t="s">
        <v>31</v>
      </c>
      <c r="D25" s="2">
        <v>46257</v>
      </c>
      <c r="E25" s="2">
        <v>46287</v>
      </c>
      <c r="F25" s="3">
        <v>20000</v>
      </c>
      <c r="G25" t="s">
        <v>75</v>
      </c>
    </row>
    <row r="26" spans="1:7" x14ac:dyDescent="0.25">
      <c r="A26" t="s">
        <v>76</v>
      </c>
      <c r="B26" t="s">
        <v>34</v>
      </c>
      <c r="C26" t="s">
        <v>47</v>
      </c>
      <c r="D26" s="2">
        <v>46243</v>
      </c>
      <c r="E26" s="2">
        <v>46273</v>
      </c>
      <c r="F26" s="3">
        <v>60000</v>
      </c>
      <c r="G26" t="s">
        <v>77</v>
      </c>
    </row>
    <row r="27" spans="1:7" x14ac:dyDescent="0.25">
      <c r="A27" t="s">
        <v>78</v>
      </c>
      <c r="B27" t="s">
        <v>8</v>
      </c>
      <c r="C27" t="s">
        <v>9</v>
      </c>
      <c r="D27" s="2">
        <v>46267</v>
      </c>
      <c r="E27" s="2">
        <v>46297</v>
      </c>
      <c r="F27" s="3">
        <v>40000</v>
      </c>
      <c r="G27" t="s">
        <v>79</v>
      </c>
    </row>
    <row r="28" spans="1:7" x14ac:dyDescent="0.25">
      <c r="A28" t="s">
        <v>80</v>
      </c>
      <c r="B28" t="s">
        <v>20</v>
      </c>
      <c r="C28" t="s">
        <v>21</v>
      </c>
      <c r="D28" s="2">
        <v>46258</v>
      </c>
      <c r="E28" s="2">
        <v>46288</v>
      </c>
      <c r="F28" s="3">
        <v>25000</v>
      </c>
      <c r="G28" t="s">
        <v>81</v>
      </c>
    </row>
    <row r="29" spans="1:7" x14ac:dyDescent="0.25">
      <c r="A29" t="s">
        <v>82</v>
      </c>
      <c r="B29" t="s">
        <v>8</v>
      </c>
      <c r="C29" t="s">
        <v>28</v>
      </c>
      <c r="D29" s="2">
        <v>46265</v>
      </c>
      <c r="E29" s="2">
        <v>46295</v>
      </c>
      <c r="F29" s="3">
        <v>20000</v>
      </c>
      <c r="G29" t="s">
        <v>83</v>
      </c>
    </row>
    <row r="30" spans="1:7" x14ac:dyDescent="0.25">
      <c r="A30" t="s">
        <v>84</v>
      </c>
      <c r="B30" t="s">
        <v>8</v>
      </c>
      <c r="C30" t="s">
        <v>50</v>
      </c>
      <c r="D30" s="2">
        <v>46265</v>
      </c>
      <c r="E30" s="2">
        <v>46295</v>
      </c>
      <c r="F30" s="3">
        <v>30000</v>
      </c>
      <c r="G30" t="s">
        <v>85</v>
      </c>
    </row>
    <row r="31" spans="1:7" x14ac:dyDescent="0.25">
      <c r="A31" t="s">
        <v>86</v>
      </c>
      <c r="B31" t="s">
        <v>8</v>
      </c>
      <c r="C31" t="s">
        <v>9</v>
      </c>
      <c r="D31" s="2">
        <v>46265</v>
      </c>
      <c r="E31" s="2">
        <v>46295</v>
      </c>
      <c r="F31" s="3">
        <v>10000</v>
      </c>
      <c r="G31" t="s">
        <v>87</v>
      </c>
    </row>
    <row r="32" spans="1:7" x14ac:dyDescent="0.25">
      <c r="A32" t="s">
        <v>88</v>
      </c>
      <c r="B32" t="s">
        <v>34</v>
      </c>
      <c r="C32" t="s">
        <v>35</v>
      </c>
      <c r="D32" s="2">
        <v>46260</v>
      </c>
      <c r="E32" s="2">
        <v>46290</v>
      </c>
      <c r="F32" s="3">
        <v>15000</v>
      </c>
      <c r="G32" t="s">
        <v>89</v>
      </c>
    </row>
    <row r="33" spans="1:7" x14ac:dyDescent="0.25">
      <c r="A33" t="s">
        <v>90</v>
      </c>
      <c r="B33" t="s">
        <v>24</v>
      </c>
      <c r="C33" t="s">
        <v>44</v>
      </c>
      <c r="D33" s="2">
        <v>46275</v>
      </c>
      <c r="E33" s="2">
        <v>46305</v>
      </c>
      <c r="F33" s="3">
        <v>5000</v>
      </c>
      <c r="G33" t="s">
        <v>91</v>
      </c>
    </row>
    <row r="34" spans="1:7" x14ac:dyDescent="0.25">
      <c r="A34" t="s">
        <v>92</v>
      </c>
      <c r="B34" t="s">
        <v>24</v>
      </c>
      <c r="C34" t="s">
        <v>25</v>
      </c>
      <c r="D34" s="2">
        <v>46275</v>
      </c>
      <c r="E34" s="2">
        <v>46305</v>
      </c>
      <c r="F34" s="3">
        <v>7000</v>
      </c>
      <c r="G34" t="s">
        <v>93</v>
      </c>
    </row>
    <row r="35" spans="1:7" x14ac:dyDescent="0.25">
      <c r="A35" t="s">
        <v>94</v>
      </c>
      <c r="B35" t="s">
        <v>8</v>
      </c>
      <c r="C35" t="s">
        <v>9</v>
      </c>
      <c r="D35" s="2">
        <v>46270</v>
      </c>
      <c r="E35" s="2">
        <v>46300</v>
      </c>
      <c r="F35" s="3">
        <v>33333</v>
      </c>
      <c r="G35" t="s">
        <v>95</v>
      </c>
    </row>
    <row r="36" spans="1:7" x14ac:dyDescent="0.25">
      <c r="A36" t="s">
        <v>96</v>
      </c>
      <c r="B36" t="s">
        <v>12</v>
      </c>
      <c r="C36" t="s">
        <v>53</v>
      </c>
      <c r="D36" s="2">
        <v>46270</v>
      </c>
      <c r="E36" s="2">
        <v>46300</v>
      </c>
      <c r="F36" s="3">
        <v>45678.9</v>
      </c>
      <c r="G36" t="s">
        <v>97</v>
      </c>
    </row>
    <row r="37" spans="1:7" x14ac:dyDescent="0.25">
      <c r="A37" t="s">
        <v>98</v>
      </c>
      <c r="B37" t="s">
        <v>34</v>
      </c>
      <c r="C37" t="s">
        <v>47</v>
      </c>
      <c r="D37" s="2">
        <v>46270</v>
      </c>
      <c r="E37" s="2">
        <v>46300</v>
      </c>
      <c r="F37" s="3">
        <v>1234.56</v>
      </c>
      <c r="G37" t="s">
        <v>99</v>
      </c>
    </row>
    <row r="38" spans="1:7" x14ac:dyDescent="0.25">
      <c r="A38" t="s">
        <v>100</v>
      </c>
      <c r="B38" t="s">
        <v>16</v>
      </c>
      <c r="C38" t="s">
        <v>17</v>
      </c>
      <c r="D38" s="2">
        <v>46270</v>
      </c>
      <c r="E38" s="2">
        <v>46300</v>
      </c>
      <c r="F38" s="3">
        <v>8750.75</v>
      </c>
      <c r="G38" t="s">
        <v>101</v>
      </c>
    </row>
    <row r="39" spans="1:7" x14ac:dyDescent="0.25">
      <c r="A39" t="s">
        <v>102</v>
      </c>
      <c r="B39" t="s">
        <v>24</v>
      </c>
      <c r="C39" t="s">
        <v>25</v>
      </c>
      <c r="D39" s="2">
        <v>46270</v>
      </c>
      <c r="E39" s="2">
        <v>46300</v>
      </c>
      <c r="F39" s="3">
        <v>0.01</v>
      </c>
      <c r="G39" t="s">
        <v>103</v>
      </c>
    </row>
    <row r="40" spans="1:7" x14ac:dyDescent="0.25">
      <c r="A40" t="s">
        <v>104</v>
      </c>
      <c r="B40" t="s">
        <v>12</v>
      </c>
      <c r="C40" t="s">
        <v>31</v>
      </c>
      <c r="D40" s="2">
        <v>46280</v>
      </c>
      <c r="E40" s="2">
        <v>46345</v>
      </c>
      <c r="F40" s="3">
        <v>9999999.5</v>
      </c>
      <c r="G40" t="s">
        <v>105</v>
      </c>
    </row>
    <row r="41" spans="1:7" x14ac:dyDescent="0.25">
      <c r="A41" t="s">
        <v>106</v>
      </c>
      <c r="B41" t="s">
        <v>20</v>
      </c>
      <c r="C41" t="s">
        <v>56</v>
      </c>
      <c r="D41" s="2">
        <v>46055</v>
      </c>
      <c r="E41" s="2">
        <v>46085</v>
      </c>
      <c r="F41" s="3">
        <v>15000</v>
      </c>
      <c r="G41" t="s">
        <v>107</v>
      </c>
    </row>
    <row r="42" spans="1:7" x14ac:dyDescent="0.25">
      <c r="A42" t="s">
        <v>108</v>
      </c>
      <c r="B42" t="s">
        <v>109</v>
      </c>
      <c r="C42" t="s">
        <v>9</v>
      </c>
      <c r="D42" s="2">
        <v>46273</v>
      </c>
      <c r="E42" s="2">
        <v>46303</v>
      </c>
      <c r="F42" s="3">
        <v>11000</v>
      </c>
      <c r="G42" t="s">
        <v>110</v>
      </c>
    </row>
    <row r="43" spans="1:7" x14ac:dyDescent="0.25">
      <c r="A43" t="s">
        <v>111</v>
      </c>
      <c r="B43" t="s">
        <v>112</v>
      </c>
      <c r="C43" t="s">
        <v>113</v>
      </c>
      <c r="D43" s="2">
        <v>46273</v>
      </c>
      <c r="E43" s="2">
        <v>46303</v>
      </c>
      <c r="F43" s="3">
        <v>12000</v>
      </c>
      <c r="G43" t="s">
        <v>114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
  <sheetViews>
    <sheetView workbookViewId="0">
      <pane xSplit="2" ySplit="4" topLeftCell="C5" activePane="bottomRight" state="frozen"/>
      <selection pane="bottomRight"/>
    </sheetView>
  </sheetViews>
  <sheetFormatPr defaultRowHeight="15" outlineLevelRow="0" outlineLevelCol="0" x14ac:dyDescent="55"/>
  <cols>
    <col min="1" max="1" width="7" customWidth="1"/>
    <col min="2" max="2" width="14" customWidth="1"/>
    <col min="3" max="3" width="44" customWidth="1"/>
    <col min="4" max="4" width="30" customWidth="1"/>
    <col min="5" max="5" width="26" customWidth="1"/>
    <col min="6" max="6" width="8" customWidth="1"/>
    <col min="7" max="8" width="12" customWidth="1"/>
    <col min="9" max="9" width="13" customWidth="1"/>
    <col min="10" max="10" width="14" customWidth="1"/>
    <col min="11" max="13" width="12" customWidth="1"/>
    <col min="14" max="14" width="13" customWidth="1"/>
    <col min="15" max="15" width="14" customWidth="1"/>
    <col min="16" max="16" width="13" customWidth="1"/>
    <col min="17" max="17" width="12" customWidth="1"/>
    <col min="18" max="18" width="14" customWidth="1"/>
    <col min="20" max="20" width="60" customWidth="1"/>
    <col min="21" max="21" width="10" customWidth="1"/>
  </cols>
  <sheetData>
    <row r="1" spans="1:1" x14ac:dyDescent="0.25">
      <c r="A1" s="4" t="s">
        <v>115</v>
      </c>
    </row>
    <row r="2" spans="1:2" x14ac:dyDescent="0.25">
      <c r="A2" s="5" t="s">
        <v>116</v>
      </c>
      <c r="B2" s="6">
        <v>46285</v>
      </c>
    </row>
    <row r="4" ht="34" customHeight="1" spans="1:21" x14ac:dyDescent="0.25">
      <c r="A4" s="7" t="s">
        <v>117</v>
      </c>
      <c r="B4" s="7" t="s">
        <v>0</v>
      </c>
      <c r="C4" s="7" t="s">
        <v>118</v>
      </c>
      <c r="D4" s="7" t="s">
        <v>1</v>
      </c>
      <c r="E4" s="7" t="s">
        <v>2</v>
      </c>
      <c r="F4" s="7" t="s">
        <v>119</v>
      </c>
      <c r="G4" s="7" t="s">
        <v>120</v>
      </c>
      <c r="H4" s="7" t="s">
        <v>121</v>
      </c>
      <c r="I4" s="7" t="s">
        <v>122</v>
      </c>
      <c r="J4" s="7" t="s">
        <v>123</v>
      </c>
      <c r="K4" s="7" t="s">
        <v>124</v>
      </c>
      <c r="L4" s="7" t="s">
        <v>125</v>
      </c>
      <c r="M4" s="7" t="s">
        <v>126</v>
      </c>
      <c r="N4" s="7" t="s">
        <v>127</v>
      </c>
      <c r="O4" s="7" t="s">
        <v>128</v>
      </c>
      <c r="P4" s="7" t="s">
        <v>129</v>
      </c>
      <c r="Q4" s="7" t="s">
        <v>130</v>
      </c>
      <c r="R4" s="7" t="s">
        <v>131</v>
      </c>
      <c r="S4" s="7" t="s">
        <v>132</v>
      </c>
      <c r="T4" s="7" t="s">
        <v>133</v>
      </c>
      <c r="U4" s="7" t="s">
        <v>134</v>
      </c>
    </row>
    <row r="5" spans="1:21" x14ac:dyDescent="0.25">
      <c r="A5" s="8">
        <v>1</v>
      </c>
      <c r="B5" s="9" t="str">
        <f>Invoices!A2</f>
        <v>ALL-2026-001</v>
      </c>
      <c r="C5" s="9" t="s">
        <v>10</v>
      </c>
      <c r="D5" s="9" t="str">
        <f>Invoices!B2</f>
        <v>Bluewave Hotels Pvt Ltd</v>
      </c>
      <c r="E5" s="9" t="str">
        <f>Invoices!C2</f>
        <v>Bluewave - Indiranagar</v>
      </c>
      <c r="F5" s="8">
        <f>IFERROR(INDEX(Customers!$F$4:$F$13,MATCH(TRIM(D5),Customers!$B$4:$B$13,0)),IFERROR(INDEX(Customers!$F$4:$F$13,MATCH(TRIM(D5),Customers!$C$4:$C$13,0)),0))</f>
        <v>2</v>
      </c>
      <c r="G5" s="10">
        <f>Invoices!E2</f>
        <v>46305</v>
      </c>
      <c r="H5" s="8">
        <f>$B$2-G5</f>
        <v>-20</v>
      </c>
      <c r="I5" s="8" t="str">
        <f>IF(G5&lt;$B$2,"OVERDUE","PENDING")</f>
        <v>PENDING</v>
      </c>
      <c r="J5" s="11">
        <f>Invoices!F2</f>
        <v>50000</v>
      </c>
      <c r="K5" s="11">
        <f>ROUND(J5*F5/100,2)</f>
        <v>1000</v>
      </c>
      <c r="L5" s="11">
        <f>SUMIFS('Payment Lines'!$C$4:$C$60,'Payment Lines'!$B$4:$B$60,B5)</f>
        <v>0</v>
      </c>
      <c r="M5" s="11">
        <f>SUMIFS('Payment Lines'!$D$4:$D$60,'Payment Lines'!$B$4:$B$60,B5)</f>
        <v>0</v>
      </c>
      <c r="N5" s="11">
        <f>ROUND(L5+SUMIFS('Payment Lines'!$D$4:$D$60,'Payment Lines'!$B$4:$B$60,B5,'Payment Lines'!$E$4:$E$60,"CURRENT"),2)</f>
        <v>0</v>
      </c>
      <c r="O5" s="11">
        <f>IF(U5="CANCEL",J5,ROUND(J5-N5,2))</f>
        <v>50000</v>
      </c>
      <c r="P5" s="8" t="str">
        <f>IF(U5="CANCEL","CANCELLED",IF(O5&lt;=0,"PAID",IF(G5&lt;$B$2,"OVERDUE",IF(N5&gt;0,"PARTIAL","PENDING"))))</f>
        <v>PENDING</v>
      </c>
      <c r="Q5" s="11">
        <f>IF(F5=0,0,MAX(0,ROUND(K5-M5,2)))</f>
        <v>1000</v>
      </c>
      <c r="R5" s="8" t="str">
        <f>IF(F5=0,"NOT_APPLICABLE",IF(AND(M5&gt;=K5,K5&gt;0),"CLEARED",IF(M5&gt;0,"PARTIAL","PENDING")))</f>
        <v>PENDING</v>
      </c>
      <c r="S5" s="8">
        <f>COUNTIF('Payment Lines'!$B$4:$B$60,B5)</f>
        <v>0</v>
      </c>
      <c r="T5" s="9" t="s">
        <v>135</v>
      </c>
      <c r="U5" s="8" t="s">
        <v>136</v>
      </c>
    </row>
    <row r="6" spans="1:21" x14ac:dyDescent="0.25">
      <c r="A6" s="8">
        <v>2</v>
      </c>
      <c r="B6" s="9" t="str">
        <f>Invoices!A3</f>
        <v>ALL-2026-002</v>
      </c>
      <c r="C6" s="9" t="s">
        <v>14</v>
      </c>
      <c r="D6" s="9" t="str">
        <f>Invoices!B3</f>
        <v>Kaveri Tech Park LLP</v>
      </c>
      <c r="E6" s="9" t="str">
        <f>Invoices!C3</f>
        <v>Kaveri - Block 1</v>
      </c>
      <c r="F6" s="8">
        <f>IFERROR(INDEX(Customers!$F$4:$F$13,MATCH(TRIM(D6),Customers!$B$4:$B$13,0)),IFERROR(INDEX(Customers!$F$4:$F$13,MATCH(TRIM(D6),Customers!$C$4:$C$13,0)),0))</f>
        <v>10</v>
      </c>
      <c r="G6" s="10">
        <f>Invoices!E3</f>
        <v>46310</v>
      </c>
      <c r="H6" s="8">
        <f>$B$2-G6</f>
        <v>-25</v>
      </c>
      <c r="I6" s="8" t="str">
        <f>IF(G6&lt;$B$2,"OVERDUE","PENDING")</f>
        <v>PENDING</v>
      </c>
      <c r="J6" s="11">
        <f>Invoices!F3</f>
        <v>100000</v>
      </c>
      <c r="K6" s="11">
        <f>ROUND(J6*F6/100,2)</f>
        <v>10000</v>
      </c>
      <c r="L6" s="11">
        <f>SUMIFS('Payment Lines'!$C$4:$C$60,'Payment Lines'!$B$4:$B$60,B6)</f>
        <v>27000</v>
      </c>
      <c r="M6" s="11">
        <f>SUMIFS('Payment Lines'!$D$4:$D$60,'Payment Lines'!$B$4:$B$60,B6)</f>
        <v>3000</v>
      </c>
      <c r="N6" s="11">
        <f>ROUND(L6+SUMIFS('Payment Lines'!$D$4:$D$60,'Payment Lines'!$B$4:$B$60,B6,'Payment Lines'!$E$4:$E$60,"CURRENT"),2)</f>
        <v>30000</v>
      </c>
      <c r="O6" s="11">
        <f>IF(U6="CANCEL",J6,ROUND(J6-N6,2))</f>
        <v>70000</v>
      </c>
      <c r="P6" s="8" t="str">
        <f>IF(U6="CANCEL","CANCELLED",IF(O6&lt;=0,"PAID",IF(G6&lt;$B$2,"OVERDUE",IF(N6&gt;0,"PARTIAL","PENDING"))))</f>
        <v>PARTIAL</v>
      </c>
      <c r="Q6" s="11">
        <f>IF(F6=0,0,MAX(0,ROUND(K6-M6,2)))</f>
        <v>7000</v>
      </c>
      <c r="R6" s="8" t="str">
        <f>IF(F6=0,"NOT_APPLICABLE",IF(AND(M6&gt;=K6,K6&gt;0),"CLEARED",IF(M6&gt;0,"PARTIAL","PENDING")))</f>
        <v>PARTIAL</v>
      </c>
      <c r="S6" s="8">
        <f>COUNTIF('Payment Lines'!$B$4:$B$60,B6)</f>
        <v>1</v>
      </c>
      <c r="T6" s="9" t="s">
        <v>137</v>
      </c>
      <c r="U6" s="8" t="s">
        <v>136</v>
      </c>
    </row>
    <row r="7" spans="1:21" x14ac:dyDescent="0.25">
      <c r="A7" s="8">
        <v>3</v>
      </c>
      <c r="B7" s="9" t="str">
        <f>Invoices!A4</f>
        <v>ALL-2026-003</v>
      </c>
      <c r="C7" s="9" t="s">
        <v>18</v>
      </c>
      <c r="D7" s="9" t="str">
        <f>Invoices!B4</f>
        <v>Green Meadow School</v>
      </c>
      <c r="E7" s="9" t="str">
        <f>Invoices!C4</f>
        <v>Green Meadow - Main Campus</v>
      </c>
      <c r="F7" s="8">
        <f>IFERROR(INDEX(Customers!$F$4:$F$13,MATCH(TRIM(D7),Customers!$B$4:$B$13,0)),IFERROR(INDEX(Customers!$F$4:$F$13,MATCH(TRIM(D7),Customers!$C$4:$C$13,0)),0))</f>
        <v>1.5</v>
      </c>
      <c r="G7" s="10">
        <f>Invoices!E4</f>
        <v>46315</v>
      </c>
      <c r="H7" s="8">
        <f>$B$2-G7</f>
        <v>-30</v>
      </c>
      <c r="I7" s="8" t="str">
        <f>IF(G7&lt;$B$2,"OVERDUE","PENDING")</f>
        <v>PENDING</v>
      </c>
      <c r="J7" s="11">
        <f>Invoices!F4</f>
        <v>27500</v>
      </c>
      <c r="K7" s="11">
        <f>ROUND(J7*F7/100,2)</f>
        <v>412.5</v>
      </c>
      <c r="L7" s="11">
        <f>SUMIFS('Payment Lines'!$C$4:$C$60,'Payment Lines'!$B$4:$B$60,B7)</f>
        <v>0</v>
      </c>
      <c r="M7" s="11">
        <f>SUMIFS('Payment Lines'!$D$4:$D$60,'Payment Lines'!$B$4:$B$60,B7)</f>
        <v>0</v>
      </c>
      <c r="N7" s="11">
        <f>ROUND(L7+SUMIFS('Payment Lines'!$D$4:$D$60,'Payment Lines'!$B$4:$B$60,B7,'Payment Lines'!$E$4:$E$60,"CURRENT"),2)</f>
        <v>0</v>
      </c>
      <c r="O7" s="11">
        <f>IF(U7="CANCEL",J7,ROUND(J7-N7,2))</f>
        <v>27500</v>
      </c>
      <c r="P7" s="8" t="str">
        <f>IF(U7="CANCEL","CANCELLED",IF(O7&lt;=0,"PAID",IF(G7&lt;$B$2,"OVERDUE",IF(N7&gt;0,"PARTIAL","PENDING"))))</f>
        <v>PENDING</v>
      </c>
      <c r="Q7" s="11">
        <f>IF(F7=0,0,MAX(0,ROUND(K7-M7,2)))</f>
        <v>412.5</v>
      </c>
      <c r="R7" s="8" t="str">
        <f>IF(F7=0,"NOT_APPLICABLE",IF(AND(M7&gt;=K7,K7&gt;0),"CLEARED",IF(M7&gt;0,"PARTIAL","PENDING")))</f>
        <v>PENDING</v>
      </c>
      <c r="S7" s="8">
        <f>COUNTIF('Payment Lines'!$B$4:$B$60,B7)</f>
        <v>0</v>
      </c>
      <c r="T7" s="9" t="s">
        <v>138</v>
      </c>
      <c r="U7" s="8" t="s">
        <v>136</v>
      </c>
    </row>
    <row r="8" spans="1:21" x14ac:dyDescent="0.25">
      <c r="A8" s="8">
        <v>4</v>
      </c>
      <c r="B8" s="9" t="str">
        <f>Invoices!A5</f>
        <v>ALL-2026-004</v>
      </c>
      <c r="C8" s="9" t="s">
        <v>22</v>
      </c>
      <c r="D8" s="9" t="str">
        <f>Invoices!B5</f>
        <v>Sunrise Apartments Owners Assn</v>
      </c>
      <c r="E8" s="9" t="str">
        <f>Invoices!C5</f>
        <v>Sunrise - Tower A</v>
      </c>
      <c r="F8" s="8">
        <f>IFERROR(INDEX(Customers!$F$4:$F$13,MATCH(TRIM(D8),Customers!$B$4:$B$13,0)),IFERROR(INDEX(Customers!$F$4:$F$13,MATCH(TRIM(D8),Customers!$C$4:$C$13,0)),0))</f>
        <v>0</v>
      </c>
      <c r="G8" s="10">
        <f>Invoices!E5</f>
        <v>46300</v>
      </c>
      <c r="H8" s="8">
        <f>$B$2-G8</f>
        <v>-15</v>
      </c>
      <c r="I8" s="8" t="str">
        <f>IF(G8&lt;$B$2,"OVERDUE","PENDING")</f>
        <v>PENDING</v>
      </c>
      <c r="J8" s="11">
        <f>Invoices!F5</f>
        <v>12500</v>
      </c>
      <c r="K8" s="11">
        <f>ROUND(J8*F8/100,2)</f>
        <v>0</v>
      </c>
      <c r="L8" s="11">
        <f>SUMIFS('Payment Lines'!$C$4:$C$60,'Payment Lines'!$B$4:$B$60,B8)</f>
        <v>0</v>
      </c>
      <c r="M8" s="11">
        <f>SUMIFS('Payment Lines'!$D$4:$D$60,'Payment Lines'!$B$4:$B$60,B8)</f>
        <v>0</v>
      </c>
      <c r="N8" s="11">
        <f>ROUND(L8+SUMIFS('Payment Lines'!$D$4:$D$60,'Payment Lines'!$B$4:$B$60,B8,'Payment Lines'!$E$4:$E$60,"CURRENT"),2)</f>
        <v>0</v>
      </c>
      <c r="O8" s="11">
        <f>IF(U8="CANCEL",J8,ROUND(J8-N8,2))</f>
        <v>12500</v>
      </c>
      <c r="P8" s="8" t="str">
        <f>IF(U8="CANCEL","CANCELLED",IF(O8&lt;=0,"PAID",IF(G8&lt;$B$2,"OVERDUE",IF(N8&gt;0,"PARTIAL","PENDING"))))</f>
        <v>PENDING</v>
      </c>
      <c r="Q8" s="11">
        <f>IF(F8=0,0,MAX(0,ROUND(K8-M8,2)))</f>
        <v>0</v>
      </c>
      <c r="R8" s="8" t="str">
        <f>IF(F8=0,"NOT_APPLICABLE",IF(AND(M8&gt;=K8,K8&gt;0),"CLEARED",IF(M8&gt;0,"PARTIAL","PENDING")))</f>
        <v>NOT_APPLICABLE</v>
      </c>
      <c r="S8" s="8">
        <f>COUNTIF('Payment Lines'!$B$4:$B$60,B8)</f>
        <v>0</v>
      </c>
      <c r="T8" s="9" t="s">
        <v>139</v>
      </c>
      <c r="U8" s="8" t="s">
        <v>136</v>
      </c>
    </row>
    <row r="9" spans="1:21" x14ac:dyDescent="0.25">
      <c r="A9" s="8">
        <v>5</v>
      </c>
      <c r="B9" s="9" t="str">
        <f>Invoices!A6</f>
        <v>ALL-2026-005</v>
      </c>
      <c r="C9" s="9" t="s">
        <v>26</v>
      </c>
      <c r="D9" s="9" t="str">
        <f>Invoices!B6</f>
        <v>Café Zoë &amp; Sons (Pvt) Ltd</v>
      </c>
      <c r="E9" s="9" t="str">
        <f>Invoices!C6</f>
        <v>Café Zoë - Main Outlet</v>
      </c>
      <c r="F9" s="8">
        <f>IFERROR(INDEX(Customers!$F$4:$F$13,MATCH(TRIM(D9),Customers!$B$4:$B$13,0)),IFERROR(INDEX(Customers!$F$4:$F$13,MATCH(TRIM(D9),Customers!$C$4:$C$13,0)),0))</f>
        <v>0</v>
      </c>
      <c r="G9" s="10">
        <f>Invoices!E6</f>
        <v>46330</v>
      </c>
      <c r="H9" s="8">
        <f>$B$2-G9</f>
        <v>-45</v>
      </c>
      <c r="I9" s="8" t="str">
        <f>IF(G9&lt;$B$2,"OVERDUE","PENDING")</f>
        <v>PENDING</v>
      </c>
      <c r="J9" s="11">
        <f>Invoices!F6</f>
        <v>8750.75</v>
      </c>
      <c r="K9" s="11">
        <f>ROUND(J9*F9/100,2)</f>
        <v>0</v>
      </c>
      <c r="L9" s="11">
        <f>SUMIFS('Payment Lines'!$C$4:$C$60,'Payment Lines'!$B$4:$B$60,B9)</f>
        <v>0</v>
      </c>
      <c r="M9" s="11">
        <f>SUMIFS('Payment Lines'!$D$4:$D$60,'Payment Lines'!$B$4:$B$60,B9)</f>
        <v>0</v>
      </c>
      <c r="N9" s="11">
        <f>ROUND(L9+SUMIFS('Payment Lines'!$D$4:$D$60,'Payment Lines'!$B$4:$B$60,B9,'Payment Lines'!$E$4:$E$60,"CURRENT"),2)</f>
        <v>0</v>
      </c>
      <c r="O9" s="11">
        <f>IF(U9="CANCEL",J9,ROUND(J9-N9,2))</f>
        <v>8750.75</v>
      </c>
      <c r="P9" s="8" t="str">
        <f>IF(U9="CANCEL","CANCELLED",IF(O9&lt;=0,"PAID",IF(G9&lt;$B$2,"OVERDUE",IF(N9&gt;0,"PARTIAL","PENDING"))))</f>
        <v>PENDING</v>
      </c>
      <c r="Q9" s="11">
        <f>IF(F9=0,0,MAX(0,ROUND(K9-M9,2)))</f>
        <v>0</v>
      </c>
      <c r="R9" s="8" t="str">
        <f>IF(F9=0,"NOT_APPLICABLE",IF(AND(M9&gt;=K9,K9&gt;0),"CLEARED",IF(M9&gt;0,"PARTIAL","PENDING")))</f>
        <v>NOT_APPLICABLE</v>
      </c>
      <c r="S9" s="8">
        <f>COUNTIF('Payment Lines'!$B$4:$B$60,B9)</f>
        <v>0</v>
      </c>
      <c r="T9" s="9" t="s">
        <v>140</v>
      </c>
      <c r="U9" s="8" t="s">
        <v>136</v>
      </c>
    </row>
    <row r="10" spans="1:21" x14ac:dyDescent="0.25">
      <c r="A10" s="8">
        <v>6</v>
      </c>
      <c r="B10" s="9" t="str">
        <f>Invoices!A7</f>
        <v>ALL-2026-006</v>
      </c>
      <c r="C10" s="9" t="s">
        <v>29</v>
      </c>
      <c r="D10" s="9" t="str">
        <f>Invoices!B7</f>
        <v>Bluewave Hotels Pvt Ltd</v>
      </c>
      <c r="E10" s="9" t="str">
        <f>Invoices!C7</f>
        <v>Bluewave - Whitefield</v>
      </c>
      <c r="F10" s="8">
        <f>IFERROR(INDEX(Customers!$F$4:$F$13,MATCH(TRIM(D10),Customers!$B$4:$B$13,0)),IFERROR(INDEX(Customers!$F$4:$F$13,MATCH(TRIM(D10),Customers!$C$4:$C$13,0)),0))</f>
        <v>2</v>
      </c>
      <c r="G10" s="10">
        <f>Invoices!E7</f>
        <v>46175</v>
      </c>
      <c r="H10" s="8">
        <f>$B$2-G10</f>
        <v>110</v>
      </c>
      <c r="I10" s="8" t="str">
        <f>IF(G10&lt;$B$2,"OVERDUE","PENDING")</f>
        <v>OVERDUE</v>
      </c>
      <c r="J10" s="11">
        <f>Invoices!F7</f>
        <v>80000</v>
      </c>
      <c r="K10" s="11">
        <f>ROUND(J10*F10/100,2)</f>
        <v>1600</v>
      </c>
      <c r="L10" s="11">
        <f>SUMIFS('Payment Lines'!$C$4:$C$60,'Payment Lines'!$B$4:$B$60,B10)</f>
        <v>0</v>
      </c>
      <c r="M10" s="11">
        <f>SUMIFS('Payment Lines'!$D$4:$D$60,'Payment Lines'!$B$4:$B$60,B10)</f>
        <v>0</v>
      </c>
      <c r="N10" s="11">
        <f>ROUND(L10+SUMIFS('Payment Lines'!$D$4:$D$60,'Payment Lines'!$B$4:$B$60,B10,'Payment Lines'!$E$4:$E$60,"CURRENT"),2)</f>
        <v>0</v>
      </c>
      <c r="O10" s="11">
        <f>IF(U10="CANCEL",J10,ROUND(J10-N10,2))</f>
        <v>80000</v>
      </c>
      <c r="P10" s="8" t="str">
        <f>IF(U10="CANCEL","CANCELLED",IF(O10&lt;=0,"PAID",IF(G10&lt;$B$2,"OVERDUE",IF(N10&gt;0,"PARTIAL","PENDING"))))</f>
        <v>OVERDUE</v>
      </c>
      <c r="Q10" s="11">
        <f>IF(F10=0,0,MAX(0,ROUND(K10-M10,2)))</f>
        <v>1600</v>
      </c>
      <c r="R10" s="8" t="str">
        <f>IF(F10=0,"NOT_APPLICABLE",IF(AND(M10&gt;=K10,K10&gt;0),"CLEARED",IF(M10&gt;0,"PARTIAL","PENDING")))</f>
        <v>PENDING</v>
      </c>
      <c r="S10" s="8">
        <f>COUNTIF('Payment Lines'!$B$4:$B$60,B10)</f>
        <v>0</v>
      </c>
      <c r="T10" s="9" t="s">
        <v>141</v>
      </c>
      <c r="U10" s="8" t="s">
        <v>136</v>
      </c>
    </row>
    <row r="11" spans="1:21" x14ac:dyDescent="0.25">
      <c r="A11" s="8">
        <v>7</v>
      </c>
      <c r="B11" s="9" t="str">
        <f>Invoices!A8</f>
        <v>ALL-2026-007</v>
      </c>
      <c r="C11" s="9" t="s">
        <v>32</v>
      </c>
      <c r="D11" s="9" t="str">
        <f>Invoices!B8</f>
        <v>Kaveri Tech Park LLP</v>
      </c>
      <c r="E11" s="9" t="str">
        <f>Invoices!C8</f>
        <v>Kaveri - Block 2</v>
      </c>
      <c r="F11" s="8">
        <f>IFERROR(INDEX(Customers!$F$4:$F$13,MATCH(TRIM(D11),Customers!$B$4:$B$13,0)),IFERROR(INDEX(Customers!$F$4:$F$13,MATCH(TRIM(D11),Customers!$C$4:$C$13,0)),0))</f>
        <v>10</v>
      </c>
      <c r="G11" s="10">
        <f>Invoices!E8</f>
        <v>46225</v>
      </c>
      <c r="H11" s="8">
        <f>$B$2-G11</f>
        <v>60</v>
      </c>
      <c r="I11" s="8" t="str">
        <f>IF(G11&lt;$B$2,"OVERDUE","PENDING")</f>
        <v>OVERDUE</v>
      </c>
      <c r="J11" s="11">
        <f>Invoices!F8</f>
        <v>150000</v>
      </c>
      <c r="K11" s="11">
        <f>ROUND(J11*F11/100,2)</f>
        <v>15000</v>
      </c>
      <c r="L11" s="11">
        <f>SUMIFS('Payment Lines'!$C$4:$C$60,'Payment Lines'!$B$4:$B$60,B11)</f>
        <v>0</v>
      </c>
      <c r="M11" s="11">
        <f>SUMIFS('Payment Lines'!$D$4:$D$60,'Payment Lines'!$B$4:$B$60,B11)</f>
        <v>0</v>
      </c>
      <c r="N11" s="11">
        <f>ROUND(L11+SUMIFS('Payment Lines'!$D$4:$D$60,'Payment Lines'!$B$4:$B$60,B11,'Payment Lines'!$E$4:$E$60,"CURRENT"),2)</f>
        <v>0</v>
      </c>
      <c r="O11" s="11">
        <f>IF(U11="CANCEL",J11,ROUND(J11-N11,2))</f>
        <v>150000</v>
      </c>
      <c r="P11" s="8" t="str">
        <f>IF(U11="CANCEL","CANCELLED",IF(O11&lt;=0,"PAID",IF(G11&lt;$B$2,"OVERDUE",IF(N11&gt;0,"PARTIAL","PENDING"))))</f>
        <v>OVERDUE</v>
      </c>
      <c r="Q11" s="11">
        <f>IF(F11=0,0,MAX(0,ROUND(K11-M11,2)))</f>
        <v>15000</v>
      </c>
      <c r="R11" s="8" t="str">
        <f>IF(F11=0,"NOT_APPLICABLE",IF(AND(M11&gt;=K11,K11&gt;0),"CLEARED",IF(M11&gt;0,"PARTIAL","PENDING")))</f>
        <v>PENDING</v>
      </c>
      <c r="S11" s="8">
        <f>COUNTIF('Payment Lines'!$B$4:$B$60,B11)</f>
        <v>0</v>
      </c>
      <c r="T11" s="9" t="s">
        <v>142</v>
      </c>
      <c r="U11" s="8" t="s">
        <v>136</v>
      </c>
    </row>
    <row r="12" spans="1:21" x14ac:dyDescent="0.25">
      <c r="A12" s="8">
        <v>8</v>
      </c>
      <c r="B12" s="9" t="str">
        <f>Invoices!A9</f>
        <v>ALL-2026-008</v>
      </c>
      <c r="C12" s="9" t="s">
        <v>36</v>
      </c>
      <c r="D12" s="9" t="str">
        <f>Invoices!B9</f>
        <v>Lotus Diagnostics Centre</v>
      </c>
      <c r="E12" s="9" t="str">
        <f>Invoices!C9</f>
        <v>Lotus - Jayanagar Lab</v>
      </c>
      <c r="F12" s="8">
        <f>IFERROR(INDEX(Customers!$F$4:$F$13,MATCH(TRIM(D12),Customers!$B$4:$B$13,0)),IFERROR(INDEX(Customers!$F$4:$F$13,MATCH(TRIM(D12),Customers!$C$4:$C$13,0)),0))</f>
        <v>2</v>
      </c>
      <c r="G12" s="10">
        <f>Invoices!E9</f>
        <v>46255</v>
      </c>
      <c r="H12" s="8">
        <f>$B$2-G12</f>
        <v>30</v>
      </c>
      <c r="I12" s="8" t="str">
        <f>IF(G12&lt;$B$2,"OVERDUE","PENDING")</f>
        <v>OVERDUE</v>
      </c>
      <c r="J12" s="11">
        <f>Invoices!F9</f>
        <v>45000</v>
      </c>
      <c r="K12" s="11">
        <f>ROUND(J12*F12/100,2)</f>
        <v>900</v>
      </c>
      <c r="L12" s="11">
        <f>SUMIFS('Payment Lines'!$C$4:$C$60,'Payment Lines'!$B$4:$B$60,B12)</f>
        <v>0</v>
      </c>
      <c r="M12" s="11">
        <f>SUMIFS('Payment Lines'!$D$4:$D$60,'Payment Lines'!$B$4:$B$60,B12)</f>
        <v>0</v>
      </c>
      <c r="N12" s="11">
        <f>ROUND(L12+SUMIFS('Payment Lines'!$D$4:$D$60,'Payment Lines'!$B$4:$B$60,B12,'Payment Lines'!$E$4:$E$60,"CURRENT"),2)</f>
        <v>0</v>
      </c>
      <c r="O12" s="11">
        <f>IF(U12="CANCEL",J12,ROUND(J12-N12,2))</f>
        <v>45000</v>
      </c>
      <c r="P12" s="8" t="str">
        <f>IF(U12="CANCEL","CANCELLED",IF(O12&lt;=0,"PAID",IF(G12&lt;$B$2,"OVERDUE",IF(N12&gt;0,"PARTIAL","PENDING"))))</f>
        <v>OVERDUE</v>
      </c>
      <c r="Q12" s="11">
        <f>IF(F12=0,0,MAX(0,ROUND(K12-M12,2)))</f>
        <v>900</v>
      </c>
      <c r="R12" s="8" t="str">
        <f>IF(F12=0,"NOT_APPLICABLE",IF(AND(M12&gt;=K12,K12&gt;0),"CLEARED",IF(M12&gt;0,"PARTIAL","PENDING")))</f>
        <v>PENDING</v>
      </c>
      <c r="S12" s="8">
        <f>COUNTIF('Payment Lines'!$B$4:$B$60,B12)</f>
        <v>0</v>
      </c>
      <c r="T12" s="9" t="s">
        <v>143</v>
      </c>
      <c r="U12" s="8" t="s">
        <v>136</v>
      </c>
    </row>
    <row r="13" spans="1:21" x14ac:dyDescent="0.25">
      <c r="A13" s="8">
        <v>9</v>
      </c>
      <c r="B13" s="9" t="str">
        <f>Invoices!A10</f>
        <v>ALL-2026-009</v>
      </c>
      <c r="C13" s="9" t="s">
        <v>39</v>
      </c>
      <c r="D13" s="9" t="str">
        <f>Invoices!B10</f>
        <v>Green Meadow School</v>
      </c>
      <c r="E13" s="9" t="str">
        <f>Invoices!C10</f>
        <v>Green Meadow - Annex</v>
      </c>
      <c r="F13" s="8">
        <f>IFERROR(INDEX(Customers!$F$4:$F$13,MATCH(TRIM(D13),Customers!$B$4:$B$13,0)),IFERROR(INDEX(Customers!$F$4:$F$13,MATCH(TRIM(D13),Customers!$C$4:$C$13,0)),0))</f>
        <v>1.5</v>
      </c>
      <c r="G13" s="10">
        <f>Invoices!E10</f>
        <v>46275</v>
      </c>
      <c r="H13" s="8">
        <f>$B$2-G13</f>
        <v>10</v>
      </c>
      <c r="I13" s="8" t="str">
        <f>IF(G13&lt;$B$2,"OVERDUE","PENDING")</f>
        <v>OVERDUE</v>
      </c>
      <c r="J13" s="11">
        <f>Invoices!F10</f>
        <v>33340</v>
      </c>
      <c r="K13" s="11">
        <f>ROUND(J13*F13/100,2)</f>
        <v>500.1</v>
      </c>
      <c r="L13" s="11">
        <f>SUMIFS('Payment Lines'!$C$4:$C$60,'Payment Lines'!$B$4:$B$60,B13)</f>
        <v>0</v>
      </c>
      <c r="M13" s="11">
        <f>SUMIFS('Payment Lines'!$D$4:$D$60,'Payment Lines'!$B$4:$B$60,B13)</f>
        <v>0</v>
      </c>
      <c r="N13" s="11">
        <f>ROUND(L13+SUMIFS('Payment Lines'!$D$4:$D$60,'Payment Lines'!$B$4:$B$60,B13,'Payment Lines'!$E$4:$E$60,"CURRENT"),2)</f>
        <v>0</v>
      </c>
      <c r="O13" s="11">
        <f>IF(U13="CANCEL",J13,ROUND(J13-N13,2))</f>
        <v>33340</v>
      </c>
      <c r="P13" s="8" t="str">
        <f>IF(U13="CANCEL","CANCELLED",IF(O13&lt;=0,"PAID",IF(G13&lt;$B$2,"OVERDUE",IF(N13&gt;0,"PARTIAL","PENDING"))))</f>
        <v>OVERDUE</v>
      </c>
      <c r="Q13" s="11">
        <f>IF(F13=0,0,MAX(0,ROUND(K13-M13,2)))</f>
        <v>500.1</v>
      </c>
      <c r="R13" s="8" t="str">
        <f>IF(F13=0,"NOT_APPLICABLE",IF(AND(M13&gt;=K13,K13&gt;0),"CLEARED",IF(M13&gt;0,"PARTIAL","PENDING")))</f>
        <v>PENDING</v>
      </c>
      <c r="S13" s="8">
        <f>COUNTIF('Payment Lines'!$B$4:$B$60,B13)</f>
        <v>0</v>
      </c>
      <c r="T13" s="9" t="s">
        <v>144</v>
      </c>
      <c r="U13" s="8" t="s">
        <v>136</v>
      </c>
    </row>
    <row r="14" spans="1:21" x14ac:dyDescent="0.25">
      <c r="A14" s="8">
        <v>10</v>
      </c>
      <c r="B14" s="9" t="str">
        <f>Invoices!A11</f>
        <v>ALL-2026-010</v>
      </c>
      <c r="C14" s="9" t="s">
        <v>42</v>
      </c>
      <c r="D14" s="9" t="str">
        <f>Invoices!B11</f>
        <v>Sunrise Apartments Owners Assn</v>
      </c>
      <c r="E14" s="9" t="str">
        <f>Invoices!C11</f>
        <v>Sunrise - Tower B</v>
      </c>
      <c r="F14" s="8">
        <f>IFERROR(INDEX(Customers!$F$4:$F$13,MATCH(TRIM(D14),Customers!$B$4:$B$13,0)),IFERROR(INDEX(Customers!$F$4:$F$13,MATCH(TRIM(D14),Customers!$C$4:$C$13,0)),0))</f>
        <v>0</v>
      </c>
      <c r="G14" s="10">
        <f>Invoices!E11</f>
        <v>46284</v>
      </c>
      <c r="H14" s="8">
        <f>$B$2-G14</f>
        <v>1</v>
      </c>
      <c r="I14" s="8" t="str">
        <f>IF(G14&lt;$B$2,"OVERDUE","PENDING")</f>
        <v>OVERDUE</v>
      </c>
      <c r="J14" s="11">
        <f>Invoices!F11</f>
        <v>18000</v>
      </c>
      <c r="K14" s="11">
        <f>ROUND(J14*F14/100,2)</f>
        <v>0</v>
      </c>
      <c r="L14" s="11">
        <f>SUMIFS('Payment Lines'!$C$4:$C$60,'Payment Lines'!$B$4:$B$60,B14)</f>
        <v>0</v>
      </c>
      <c r="M14" s="11">
        <f>SUMIFS('Payment Lines'!$D$4:$D$60,'Payment Lines'!$B$4:$B$60,B14)</f>
        <v>0</v>
      </c>
      <c r="N14" s="11">
        <f>ROUND(L14+SUMIFS('Payment Lines'!$D$4:$D$60,'Payment Lines'!$B$4:$B$60,B14,'Payment Lines'!$E$4:$E$60,"CURRENT"),2)</f>
        <v>0</v>
      </c>
      <c r="O14" s="11">
        <f>IF(U14="CANCEL",J14,ROUND(J14-N14,2))</f>
        <v>18000</v>
      </c>
      <c r="P14" s="8" t="str">
        <f>IF(U14="CANCEL","CANCELLED",IF(O14&lt;=0,"PAID",IF(G14&lt;$B$2,"OVERDUE",IF(N14&gt;0,"PARTIAL","PENDING"))))</f>
        <v>OVERDUE</v>
      </c>
      <c r="Q14" s="11">
        <f>IF(F14=0,0,MAX(0,ROUND(K14-M14,2)))</f>
        <v>0</v>
      </c>
      <c r="R14" s="8" t="str">
        <f>IF(F14=0,"NOT_APPLICABLE",IF(AND(M14&gt;=K14,K14&gt;0),"CLEARED",IF(M14&gt;0,"PARTIAL","PENDING")))</f>
        <v>NOT_APPLICABLE</v>
      </c>
      <c r="S14" s="8">
        <f>COUNTIF('Payment Lines'!$B$4:$B$60,B14)</f>
        <v>0</v>
      </c>
      <c r="T14" s="9" t="s">
        <v>145</v>
      </c>
      <c r="U14" s="8" t="s">
        <v>136</v>
      </c>
    </row>
    <row r="15" spans="1:21" x14ac:dyDescent="0.25">
      <c r="A15" s="8">
        <v>11</v>
      </c>
      <c r="B15" s="9" t="str">
        <f>Invoices!A12</f>
        <v>ALL-2026-011</v>
      </c>
      <c r="C15" s="9" t="s">
        <v>45</v>
      </c>
      <c r="D15" s="9" t="str">
        <f>Invoices!B12</f>
        <v>Café Zoë &amp; Sons (Pvt) Ltd</v>
      </c>
      <c r="E15" s="9" t="str">
        <f>Invoices!C12</f>
        <v>Café Zoë - Kiosk 2</v>
      </c>
      <c r="F15" s="8">
        <f>IFERROR(INDEX(Customers!$F$4:$F$13,MATCH(TRIM(D15),Customers!$B$4:$B$13,0)),IFERROR(INDEX(Customers!$F$4:$F$13,MATCH(TRIM(D15),Customers!$C$4:$C$13,0)),0))</f>
        <v>0</v>
      </c>
      <c r="G15" s="10">
        <f>Invoices!E12</f>
        <v>46240</v>
      </c>
      <c r="H15" s="8">
        <f>$B$2-G15</f>
        <v>45</v>
      </c>
      <c r="I15" s="8" t="str">
        <f>IF(G15&lt;$B$2,"OVERDUE","PENDING")</f>
        <v>OVERDUE</v>
      </c>
      <c r="J15" s="11">
        <f>Invoices!F12</f>
        <v>6400</v>
      </c>
      <c r="K15" s="11">
        <f>ROUND(J15*F15/100,2)</f>
        <v>0</v>
      </c>
      <c r="L15" s="11">
        <f>SUMIFS('Payment Lines'!$C$4:$C$60,'Payment Lines'!$B$4:$B$60,B15)</f>
        <v>0</v>
      </c>
      <c r="M15" s="11">
        <f>SUMIFS('Payment Lines'!$D$4:$D$60,'Payment Lines'!$B$4:$B$60,B15)</f>
        <v>0</v>
      </c>
      <c r="N15" s="11">
        <f>ROUND(L15+SUMIFS('Payment Lines'!$D$4:$D$60,'Payment Lines'!$B$4:$B$60,B15,'Payment Lines'!$E$4:$E$60,"CURRENT"),2)</f>
        <v>0</v>
      </c>
      <c r="O15" s="11">
        <f>IF(U15="CANCEL",J15,ROUND(J15-N15,2))</f>
        <v>6400</v>
      </c>
      <c r="P15" s="8" t="str">
        <f>IF(U15="CANCEL","CANCELLED",IF(O15&lt;=0,"PAID",IF(G15&lt;$B$2,"OVERDUE",IF(N15&gt;0,"PARTIAL","PENDING"))))</f>
        <v>OVERDUE</v>
      </c>
      <c r="Q15" s="11">
        <f>IF(F15=0,0,MAX(0,ROUND(K15-M15,2)))</f>
        <v>0</v>
      </c>
      <c r="R15" s="8" t="str">
        <f>IF(F15=0,"NOT_APPLICABLE",IF(AND(M15&gt;=K15,K15&gt;0),"CLEARED",IF(M15&gt;0,"PARTIAL","PENDING")))</f>
        <v>NOT_APPLICABLE</v>
      </c>
      <c r="S15" s="8">
        <f>COUNTIF('Payment Lines'!$B$4:$B$60,B15)</f>
        <v>0</v>
      </c>
      <c r="T15" s="9" t="s">
        <v>143</v>
      </c>
      <c r="U15" s="8" t="s">
        <v>136</v>
      </c>
    </row>
    <row r="16" spans="1:21" x14ac:dyDescent="0.25">
      <c r="A16" s="8">
        <v>12</v>
      </c>
      <c r="B16" s="9" t="str">
        <f>Invoices!A13</f>
        <v>ALL-2026-012</v>
      </c>
      <c r="C16" s="9" t="s">
        <v>48</v>
      </c>
      <c r="D16" s="9" t="str">
        <f>Invoices!B13</f>
        <v>Lotus Diagnostics Centre</v>
      </c>
      <c r="E16" s="9" t="str">
        <f>Invoices!C13</f>
        <v>Lotus - HSR Lab</v>
      </c>
      <c r="F16" s="8">
        <f>IFERROR(INDEX(Customers!$F$4:$F$13,MATCH(TRIM(D16),Customers!$B$4:$B$13,0)),IFERROR(INDEX(Customers!$F$4:$F$13,MATCH(TRIM(D16),Customers!$C$4:$C$13,0)),0))</f>
        <v>2</v>
      </c>
      <c r="G16" s="10">
        <f>Invoices!E13</f>
        <v>46285</v>
      </c>
      <c r="H16" s="8">
        <f>$B$2-G16</f>
        <v>0</v>
      </c>
      <c r="I16" s="8" t="str">
        <f>IF(G16&lt;$B$2,"OVERDUE","PENDING")</f>
        <v>PENDING</v>
      </c>
      <c r="J16" s="11">
        <f>Invoices!F13</f>
        <v>27500</v>
      </c>
      <c r="K16" s="11">
        <f>ROUND(J16*F16/100,2)</f>
        <v>550</v>
      </c>
      <c r="L16" s="11">
        <f>SUMIFS('Payment Lines'!$C$4:$C$60,'Payment Lines'!$B$4:$B$60,B16)</f>
        <v>0</v>
      </c>
      <c r="M16" s="11">
        <f>SUMIFS('Payment Lines'!$D$4:$D$60,'Payment Lines'!$B$4:$B$60,B16)</f>
        <v>0</v>
      </c>
      <c r="N16" s="11">
        <f>ROUND(L16+SUMIFS('Payment Lines'!$D$4:$D$60,'Payment Lines'!$B$4:$B$60,B16,'Payment Lines'!$E$4:$E$60,"CURRENT"),2)</f>
        <v>0</v>
      </c>
      <c r="O16" s="11">
        <f>IF(U16="CANCEL",J16,ROUND(J16-N16,2))</f>
        <v>27500</v>
      </c>
      <c r="P16" s="8" t="str">
        <f>IF(U16="CANCEL","CANCELLED",IF(O16&lt;=0,"PAID",IF(G16&lt;$B$2,"OVERDUE",IF(N16&gt;0,"PARTIAL","PENDING"))))</f>
        <v>PENDING</v>
      </c>
      <c r="Q16" s="11">
        <f>IF(F16=0,0,MAX(0,ROUND(K16-M16,2)))</f>
        <v>550</v>
      </c>
      <c r="R16" s="8" t="str">
        <f>IF(F16=0,"NOT_APPLICABLE",IF(AND(M16&gt;=K16,K16&gt;0),"CLEARED",IF(M16&gt;0,"PARTIAL","PENDING")))</f>
        <v>PENDING</v>
      </c>
      <c r="S16" s="8">
        <f>COUNTIF('Payment Lines'!$B$4:$B$60,B16)</f>
        <v>0</v>
      </c>
      <c r="T16" s="9" t="s">
        <v>146</v>
      </c>
      <c r="U16" s="8" t="s">
        <v>136</v>
      </c>
    </row>
    <row r="17" spans="1:21" x14ac:dyDescent="0.25">
      <c r="A17" s="8">
        <v>13</v>
      </c>
      <c r="B17" s="9" t="str">
        <f>Invoices!A14</f>
        <v>ALL-2026-013</v>
      </c>
      <c r="C17" s="9" t="s">
        <v>51</v>
      </c>
      <c r="D17" s="9" t="str">
        <f>Invoices!B14</f>
        <v>Bluewave Hotels Pvt Ltd</v>
      </c>
      <c r="E17" s="9" t="str">
        <f>Invoices!C14</f>
        <v>Bluewave - Koramangala</v>
      </c>
      <c r="F17" s="8">
        <f>IFERROR(INDEX(Customers!$F$4:$F$13,MATCH(TRIM(D17),Customers!$B$4:$B$13,0)),IFERROR(INDEX(Customers!$F$4:$F$13,MATCH(TRIM(D17),Customers!$C$4:$C$13,0)),0))</f>
        <v>2</v>
      </c>
      <c r="G17" s="10">
        <f>Invoices!E14</f>
        <v>46286</v>
      </c>
      <c r="H17" s="8">
        <f>$B$2-G17</f>
        <v>-1</v>
      </c>
      <c r="I17" s="8" t="str">
        <f>IF(G17&lt;$B$2,"OVERDUE","PENDING")</f>
        <v>PENDING</v>
      </c>
      <c r="J17" s="11">
        <f>Invoices!F14</f>
        <v>22000</v>
      </c>
      <c r="K17" s="11">
        <f>ROUND(J17*F17/100,2)</f>
        <v>440</v>
      </c>
      <c r="L17" s="11">
        <f>SUMIFS('Payment Lines'!$C$4:$C$60,'Payment Lines'!$B$4:$B$60,B17)</f>
        <v>0</v>
      </c>
      <c r="M17" s="11">
        <f>SUMIFS('Payment Lines'!$D$4:$D$60,'Payment Lines'!$B$4:$B$60,B17)</f>
        <v>0</v>
      </c>
      <c r="N17" s="11">
        <f>ROUND(L17+SUMIFS('Payment Lines'!$D$4:$D$60,'Payment Lines'!$B$4:$B$60,B17,'Payment Lines'!$E$4:$E$60,"CURRENT"),2)</f>
        <v>0</v>
      </c>
      <c r="O17" s="11">
        <f>IF(U17="CANCEL",J17,ROUND(J17-N17,2))</f>
        <v>22000</v>
      </c>
      <c r="P17" s="8" t="str">
        <f>IF(U17="CANCEL","CANCELLED",IF(O17&lt;=0,"PAID",IF(G17&lt;$B$2,"OVERDUE",IF(N17&gt;0,"PARTIAL","PENDING"))))</f>
        <v>PENDING</v>
      </c>
      <c r="Q17" s="11">
        <f>IF(F17=0,0,MAX(0,ROUND(K17-M17,2)))</f>
        <v>440</v>
      </c>
      <c r="R17" s="8" t="str">
        <f>IF(F17=0,"NOT_APPLICABLE",IF(AND(M17&gt;=K17,K17&gt;0),"CLEARED",IF(M17&gt;0,"PARTIAL","PENDING")))</f>
        <v>PENDING</v>
      </c>
      <c r="S17" s="8">
        <f>COUNTIF('Payment Lines'!$B$4:$B$60,B17)</f>
        <v>0</v>
      </c>
      <c r="T17" s="9" t="s">
        <v>147</v>
      </c>
      <c r="U17" s="8" t="s">
        <v>136</v>
      </c>
    </row>
    <row r="18" spans="1:21" x14ac:dyDescent="0.25">
      <c r="A18" s="8">
        <v>14</v>
      </c>
      <c r="B18" s="9" t="str">
        <f>Invoices!A15</f>
        <v>ALL-2026-014</v>
      </c>
      <c r="C18" s="9" t="s">
        <v>54</v>
      </c>
      <c r="D18" s="9" t="str">
        <f>Invoices!B15</f>
        <v>Kaveri Tech Park LLP</v>
      </c>
      <c r="E18" s="9" t="str">
        <f>Invoices!C15</f>
        <v>Kaveri - Food Court</v>
      </c>
      <c r="F18" s="8">
        <f>IFERROR(INDEX(Customers!$F$4:$F$13,MATCH(TRIM(D18),Customers!$B$4:$B$13,0)),IFERROR(INDEX(Customers!$F$4:$F$13,MATCH(TRIM(D18),Customers!$C$4:$C$13,0)),0))</f>
        <v>10</v>
      </c>
      <c r="G18" s="10">
        <f>Invoices!E15</f>
        <v>46290</v>
      </c>
      <c r="H18" s="8">
        <f>$B$2-G18</f>
        <v>-5</v>
      </c>
      <c r="I18" s="8" t="str">
        <f>IF(G18&lt;$B$2,"OVERDUE","PENDING")</f>
        <v>PENDING</v>
      </c>
      <c r="J18" s="11">
        <f>Invoices!F15</f>
        <v>60000</v>
      </c>
      <c r="K18" s="11">
        <f>ROUND(J18*F18/100,2)</f>
        <v>6000</v>
      </c>
      <c r="L18" s="11">
        <f>SUMIFS('Payment Lines'!$C$4:$C$60,'Payment Lines'!$B$4:$B$60,B18)</f>
        <v>0</v>
      </c>
      <c r="M18" s="11">
        <f>SUMIFS('Payment Lines'!$D$4:$D$60,'Payment Lines'!$B$4:$B$60,B18)</f>
        <v>0</v>
      </c>
      <c r="N18" s="11">
        <f>ROUND(L18+SUMIFS('Payment Lines'!$D$4:$D$60,'Payment Lines'!$B$4:$B$60,B18,'Payment Lines'!$E$4:$E$60,"CURRENT"),2)</f>
        <v>0</v>
      </c>
      <c r="O18" s="11">
        <f>IF(U18="CANCEL",J18,ROUND(J18-N18,2))</f>
        <v>60000</v>
      </c>
      <c r="P18" s="8" t="str">
        <f>IF(U18="CANCEL","CANCELLED",IF(O18&lt;=0,"PAID",IF(G18&lt;$B$2,"OVERDUE",IF(N18&gt;0,"PARTIAL","PENDING"))))</f>
        <v>PENDING</v>
      </c>
      <c r="Q18" s="11">
        <f>IF(F18=0,0,MAX(0,ROUND(K18-M18,2)))</f>
        <v>6000</v>
      </c>
      <c r="R18" s="8" t="str">
        <f>IF(F18=0,"NOT_APPLICABLE",IF(AND(M18&gt;=K18,K18&gt;0),"CLEARED",IF(M18&gt;0,"PARTIAL","PENDING")))</f>
        <v>PENDING</v>
      </c>
      <c r="S18" s="8">
        <f>COUNTIF('Payment Lines'!$B$4:$B$60,B18)</f>
        <v>0</v>
      </c>
      <c r="T18" s="9" t="s">
        <v>147</v>
      </c>
      <c r="U18" s="8" t="s">
        <v>136</v>
      </c>
    </row>
    <row r="19" spans="1:21" x14ac:dyDescent="0.25">
      <c r="A19" s="8">
        <v>15</v>
      </c>
      <c r="B19" s="9" t="str">
        <f>Invoices!A16</f>
        <v>ALL-2026-015</v>
      </c>
      <c r="C19" s="9" t="s">
        <v>57</v>
      </c>
      <c r="D19" s="9" t="str">
        <f>Invoices!B16</f>
        <v>Sunrise Apartments Owners Assn</v>
      </c>
      <c r="E19" s="9" t="str">
        <f>Invoices!C16</f>
        <v>Sunrise - Clubhouse</v>
      </c>
      <c r="F19" s="8">
        <f>IFERROR(INDEX(Customers!$F$4:$F$13,MATCH(TRIM(D19),Customers!$B$4:$B$13,0)),IFERROR(INDEX(Customers!$F$4:$F$13,MATCH(TRIM(D19),Customers!$C$4:$C$13,0)),0))</f>
        <v>0</v>
      </c>
      <c r="G19" s="10">
        <f>Invoices!E16</f>
        <v>46292</v>
      </c>
      <c r="H19" s="8">
        <f>$B$2-G19</f>
        <v>-7</v>
      </c>
      <c r="I19" s="8" t="str">
        <f>IF(G19&lt;$B$2,"OVERDUE","PENDING")</f>
        <v>PENDING</v>
      </c>
      <c r="J19" s="11">
        <f>Invoices!F16</f>
        <v>9500</v>
      </c>
      <c r="K19" s="11">
        <f>ROUND(J19*F19/100,2)</f>
        <v>0</v>
      </c>
      <c r="L19" s="11">
        <f>SUMIFS('Payment Lines'!$C$4:$C$60,'Payment Lines'!$B$4:$B$60,B19)</f>
        <v>0</v>
      </c>
      <c r="M19" s="11">
        <f>SUMIFS('Payment Lines'!$D$4:$D$60,'Payment Lines'!$B$4:$B$60,B19)</f>
        <v>0</v>
      </c>
      <c r="N19" s="11">
        <f>ROUND(L19+SUMIFS('Payment Lines'!$D$4:$D$60,'Payment Lines'!$B$4:$B$60,B19,'Payment Lines'!$E$4:$E$60,"CURRENT"),2)</f>
        <v>0</v>
      </c>
      <c r="O19" s="11">
        <f>IF(U19="CANCEL",J19,ROUND(J19-N19,2))</f>
        <v>9500</v>
      </c>
      <c r="P19" s="8" t="str">
        <f>IF(U19="CANCEL","CANCELLED",IF(O19&lt;=0,"PAID",IF(G19&lt;$B$2,"OVERDUE",IF(N19&gt;0,"PARTIAL","PENDING"))))</f>
        <v>PENDING</v>
      </c>
      <c r="Q19" s="11">
        <f>IF(F19=0,0,MAX(0,ROUND(K19-M19,2)))</f>
        <v>0</v>
      </c>
      <c r="R19" s="8" t="str">
        <f>IF(F19=0,"NOT_APPLICABLE",IF(AND(M19&gt;=K19,K19&gt;0),"CLEARED",IF(M19&gt;0,"PARTIAL","PENDING")))</f>
        <v>NOT_APPLICABLE</v>
      </c>
      <c r="S19" s="8">
        <f>COUNTIF('Payment Lines'!$B$4:$B$60,B19)</f>
        <v>0</v>
      </c>
      <c r="T19" s="9" t="s">
        <v>148</v>
      </c>
      <c r="U19" s="8" t="s">
        <v>136</v>
      </c>
    </row>
    <row r="20" spans="1:21" x14ac:dyDescent="0.25">
      <c r="A20" s="8">
        <v>16</v>
      </c>
      <c r="B20" s="9" t="str">
        <f>Invoices!A17</f>
        <v>ALL-2026-016</v>
      </c>
      <c r="C20" s="9" t="s">
        <v>59</v>
      </c>
      <c r="D20" s="9" t="str">
        <f>Invoices!B17</f>
        <v>Green Meadow School</v>
      </c>
      <c r="E20" s="9" t="str">
        <f>Invoices!C17</f>
        <v>Green Meadow - Main Campus</v>
      </c>
      <c r="F20" s="8">
        <f>IFERROR(INDEX(Customers!$F$4:$F$13,MATCH(TRIM(D20),Customers!$B$4:$B$13,0)),IFERROR(INDEX(Customers!$F$4:$F$13,MATCH(TRIM(D20),Customers!$C$4:$C$13,0)),0))</f>
        <v>1.5</v>
      </c>
      <c r="G20" s="10">
        <f>Invoices!E17</f>
        <v>46293</v>
      </c>
      <c r="H20" s="8">
        <f>$B$2-G20</f>
        <v>-8</v>
      </c>
      <c r="I20" s="8" t="str">
        <f>IF(G20&lt;$B$2,"OVERDUE","PENDING")</f>
        <v>PENDING</v>
      </c>
      <c r="J20" s="11">
        <f>Invoices!F17</f>
        <v>14000</v>
      </c>
      <c r="K20" s="11">
        <f>ROUND(J20*F20/100,2)</f>
        <v>210</v>
      </c>
      <c r="L20" s="11">
        <f>SUMIFS('Payment Lines'!$C$4:$C$60,'Payment Lines'!$B$4:$B$60,B20)</f>
        <v>0</v>
      </c>
      <c r="M20" s="11">
        <f>SUMIFS('Payment Lines'!$D$4:$D$60,'Payment Lines'!$B$4:$B$60,B20)</f>
        <v>0</v>
      </c>
      <c r="N20" s="11">
        <f>ROUND(L20+SUMIFS('Payment Lines'!$D$4:$D$60,'Payment Lines'!$B$4:$B$60,B20,'Payment Lines'!$E$4:$E$60,"CURRENT"),2)</f>
        <v>0</v>
      </c>
      <c r="O20" s="11">
        <f>IF(U20="CANCEL",J20,ROUND(J20-N20,2))</f>
        <v>14000</v>
      </c>
      <c r="P20" s="8" t="str">
        <f>IF(U20="CANCEL","CANCELLED",IF(O20&lt;=0,"PAID",IF(G20&lt;$B$2,"OVERDUE",IF(N20&gt;0,"PARTIAL","PENDING"))))</f>
        <v>PENDING</v>
      </c>
      <c r="Q20" s="11">
        <f>IF(F20=0,0,MAX(0,ROUND(K20-M20,2)))</f>
        <v>210</v>
      </c>
      <c r="R20" s="8" t="str">
        <f>IF(F20=0,"NOT_APPLICABLE",IF(AND(M20&gt;=K20,K20&gt;0),"CLEARED",IF(M20&gt;0,"PARTIAL","PENDING")))</f>
        <v>PENDING</v>
      </c>
      <c r="S20" s="8">
        <f>COUNTIF('Payment Lines'!$B$4:$B$60,B20)</f>
        <v>0</v>
      </c>
      <c r="T20" s="9" t="s">
        <v>149</v>
      </c>
      <c r="U20" s="8" t="s">
        <v>136</v>
      </c>
    </row>
    <row r="21" spans="1:21" x14ac:dyDescent="0.25">
      <c r="A21" s="8">
        <v>17</v>
      </c>
      <c r="B21" s="9" t="str">
        <f>Invoices!A18</f>
        <v>ALL-2026-017</v>
      </c>
      <c r="C21" s="9" t="s">
        <v>61</v>
      </c>
      <c r="D21" s="9" t="str">
        <f>Invoices!B18</f>
        <v>Lotus Diagnostics Centre</v>
      </c>
      <c r="E21" s="9" t="str">
        <f>Invoices!C18</f>
        <v>Lotus - Jayanagar Lab</v>
      </c>
      <c r="F21" s="8">
        <f>IFERROR(INDEX(Customers!$F$4:$F$13,MATCH(TRIM(D21),Customers!$B$4:$B$13,0)),IFERROR(INDEX(Customers!$F$4:$F$13,MATCH(TRIM(D21),Customers!$C$4:$C$13,0)),0))</f>
        <v>2</v>
      </c>
      <c r="G21" s="10">
        <f>Invoices!E18</f>
        <v>46315</v>
      </c>
      <c r="H21" s="8">
        <f>$B$2-G21</f>
        <v>-30</v>
      </c>
      <c r="I21" s="8" t="str">
        <f>IF(G21&lt;$B$2,"OVERDUE","PENDING")</f>
        <v>PENDING</v>
      </c>
      <c r="J21" s="11">
        <f>Invoices!F18</f>
        <v>36000</v>
      </c>
      <c r="K21" s="11">
        <f>ROUND(J21*F21/100,2)</f>
        <v>720</v>
      </c>
      <c r="L21" s="11">
        <f>SUMIFS('Payment Lines'!$C$4:$C$60,'Payment Lines'!$B$4:$B$60,B21)</f>
        <v>0</v>
      </c>
      <c r="M21" s="11">
        <f>SUMIFS('Payment Lines'!$D$4:$D$60,'Payment Lines'!$B$4:$B$60,B21)</f>
        <v>0</v>
      </c>
      <c r="N21" s="11">
        <f>ROUND(L21+SUMIFS('Payment Lines'!$D$4:$D$60,'Payment Lines'!$B$4:$B$60,B21,'Payment Lines'!$E$4:$E$60,"CURRENT"),2)</f>
        <v>0</v>
      </c>
      <c r="O21" s="11">
        <f>IF(U21="CANCEL",J21,ROUND(J21-N21,2))</f>
        <v>36000</v>
      </c>
      <c r="P21" s="8" t="str">
        <f>IF(U21="CANCEL","CANCELLED",IF(O21&lt;=0,"PAID",IF(G21&lt;$B$2,"OVERDUE",IF(N21&gt;0,"PARTIAL","PENDING"))))</f>
        <v>PENDING</v>
      </c>
      <c r="Q21" s="11">
        <f>IF(F21=0,0,MAX(0,ROUND(K21-M21,2)))</f>
        <v>720</v>
      </c>
      <c r="R21" s="8" t="str">
        <f>IF(F21=0,"NOT_APPLICABLE",IF(AND(M21&gt;=K21,K21&gt;0),"CLEARED",IF(M21&gt;0,"PARTIAL","PENDING")))</f>
        <v>PENDING</v>
      </c>
      <c r="S21" s="8">
        <f>COUNTIF('Payment Lines'!$B$4:$B$60,B21)</f>
        <v>0</v>
      </c>
      <c r="T21" s="9" t="s">
        <v>150</v>
      </c>
      <c r="U21" s="8" t="s">
        <v>136</v>
      </c>
    </row>
    <row r="22" spans="1:21" x14ac:dyDescent="0.25">
      <c r="A22" s="8">
        <v>18</v>
      </c>
      <c r="B22" s="9" t="str">
        <f>Invoices!A19</f>
        <v>ALL-2026-018</v>
      </c>
      <c r="C22" s="9" t="s">
        <v>63</v>
      </c>
      <c r="D22" s="9" t="str">
        <f>Invoices!B19</f>
        <v>Café Zoë &amp; Sons (Pvt) Ltd</v>
      </c>
      <c r="E22" s="9" t="str">
        <f>Invoices!C19</f>
        <v>Café Zoë - Main Outlet</v>
      </c>
      <c r="F22" s="8">
        <f>IFERROR(INDEX(Customers!$F$4:$F$13,MATCH(TRIM(D22),Customers!$B$4:$B$13,0)),IFERROR(INDEX(Customers!$F$4:$F$13,MATCH(TRIM(D22),Customers!$C$4:$C$13,0)),0))</f>
        <v>0</v>
      </c>
      <c r="G22" s="10">
        <f>Invoices!E19</f>
        <v>46316</v>
      </c>
      <c r="H22" s="8">
        <f>$B$2-G22</f>
        <v>-31</v>
      </c>
      <c r="I22" s="8" t="str">
        <f>IF(G22&lt;$B$2,"OVERDUE","PENDING")</f>
        <v>PENDING</v>
      </c>
      <c r="J22" s="11">
        <f>Invoices!F19</f>
        <v>5200</v>
      </c>
      <c r="K22" s="11">
        <f>ROUND(J22*F22/100,2)</f>
        <v>0</v>
      </c>
      <c r="L22" s="11">
        <f>SUMIFS('Payment Lines'!$C$4:$C$60,'Payment Lines'!$B$4:$B$60,B22)</f>
        <v>0</v>
      </c>
      <c r="M22" s="11">
        <f>SUMIFS('Payment Lines'!$D$4:$D$60,'Payment Lines'!$B$4:$B$60,B22)</f>
        <v>0</v>
      </c>
      <c r="N22" s="11">
        <f>ROUND(L22+SUMIFS('Payment Lines'!$D$4:$D$60,'Payment Lines'!$B$4:$B$60,B22,'Payment Lines'!$E$4:$E$60,"CURRENT"),2)</f>
        <v>0</v>
      </c>
      <c r="O22" s="11">
        <f>IF(U22="CANCEL",J22,ROUND(J22-N22,2))</f>
        <v>5200</v>
      </c>
      <c r="P22" s="8" t="str">
        <f>IF(U22="CANCEL","CANCELLED",IF(O22&lt;=0,"PAID",IF(G22&lt;$B$2,"OVERDUE",IF(N22&gt;0,"PARTIAL","PENDING"))))</f>
        <v>PENDING</v>
      </c>
      <c r="Q22" s="11">
        <f>IF(F22=0,0,MAX(0,ROUND(K22-M22,2)))</f>
        <v>0</v>
      </c>
      <c r="R22" s="8" t="str">
        <f>IF(F22=0,"NOT_APPLICABLE",IF(AND(M22&gt;=K22,K22&gt;0),"CLEARED",IF(M22&gt;0,"PARTIAL","PENDING")))</f>
        <v>NOT_APPLICABLE</v>
      </c>
      <c r="S22" s="8">
        <f>COUNTIF('Payment Lines'!$B$4:$B$60,B22)</f>
        <v>0</v>
      </c>
      <c r="T22" s="9" t="s">
        <v>151</v>
      </c>
      <c r="U22" s="8" t="s">
        <v>136</v>
      </c>
    </row>
    <row r="23" spans="1:21" x14ac:dyDescent="0.25">
      <c r="A23" s="8">
        <v>19</v>
      </c>
      <c r="B23" s="9" t="str">
        <f>Invoices!A20</f>
        <v>ALL-2026-019</v>
      </c>
      <c r="C23" s="9" t="s">
        <v>65</v>
      </c>
      <c r="D23" s="9" t="str">
        <f>Invoices!B20</f>
        <v>Bluewave Hotels Pvt Ltd</v>
      </c>
      <c r="E23" s="9" t="str">
        <f>Invoices!C20</f>
        <v>Bluewave - Indiranagar</v>
      </c>
      <c r="F23" s="8">
        <f>IFERROR(INDEX(Customers!$F$4:$F$13,MATCH(TRIM(D23),Customers!$B$4:$B$13,0)),IFERROR(INDEX(Customers!$F$4:$F$13,MATCH(TRIM(D23),Customers!$C$4:$C$13,0)),0))</f>
        <v>2</v>
      </c>
      <c r="G23" s="10">
        <f>Invoices!E20</f>
        <v>46375</v>
      </c>
      <c r="H23" s="8">
        <f>$B$2-G23</f>
        <v>-90</v>
      </c>
      <c r="I23" s="8" t="str">
        <f>IF(G23&lt;$B$2,"OVERDUE","PENDING")</f>
        <v>PENDING</v>
      </c>
      <c r="J23" s="11">
        <f>Invoices!F20</f>
        <v>250000</v>
      </c>
      <c r="K23" s="11">
        <f>ROUND(J23*F23/100,2)</f>
        <v>5000</v>
      </c>
      <c r="L23" s="11">
        <f>SUMIFS('Payment Lines'!$C$4:$C$60,'Payment Lines'!$B$4:$B$60,B23)</f>
        <v>0</v>
      </c>
      <c r="M23" s="11">
        <f>SUMIFS('Payment Lines'!$D$4:$D$60,'Payment Lines'!$B$4:$B$60,B23)</f>
        <v>0</v>
      </c>
      <c r="N23" s="11">
        <f>ROUND(L23+SUMIFS('Payment Lines'!$D$4:$D$60,'Payment Lines'!$B$4:$B$60,B23,'Payment Lines'!$E$4:$E$60,"CURRENT"),2)</f>
        <v>0</v>
      </c>
      <c r="O23" s="11">
        <f>IF(U23="CANCEL",J23,ROUND(J23-N23,2))</f>
        <v>250000</v>
      </c>
      <c r="P23" s="8" t="str">
        <f>IF(U23="CANCEL","CANCELLED",IF(O23&lt;=0,"PAID",IF(G23&lt;$B$2,"OVERDUE",IF(N23&gt;0,"PARTIAL","PENDING"))))</f>
        <v>PENDING</v>
      </c>
      <c r="Q23" s="11">
        <f>IF(F23=0,0,MAX(0,ROUND(K23-M23,2)))</f>
        <v>5000</v>
      </c>
      <c r="R23" s="8" t="str">
        <f>IF(F23=0,"NOT_APPLICABLE",IF(AND(M23&gt;=K23,K23&gt;0),"CLEARED",IF(M23&gt;0,"PARTIAL","PENDING")))</f>
        <v>PENDING</v>
      </c>
      <c r="S23" s="8">
        <f>COUNTIF('Payment Lines'!$B$4:$B$60,B23)</f>
        <v>0</v>
      </c>
      <c r="T23" s="9" t="s">
        <v>152</v>
      </c>
      <c r="U23" s="8" t="s">
        <v>136</v>
      </c>
    </row>
    <row r="24" spans="1:21" x14ac:dyDescent="0.25">
      <c r="A24" s="8">
        <v>20</v>
      </c>
      <c r="B24" s="9" t="str">
        <f>Invoices!A21</f>
        <v>ALL-2026-020</v>
      </c>
      <c r="C24" s="9" t="s">
        <v>67</v>
      </c>
      <c r="D24" s="9" t="str">
        <f>Invoices!B21</f>
        <v>Bluewave Hotels Pvt Ltd</v>
      </c>
      <c r="E24" s="9" t="str">
        <f>Invoices!C21</f>
        <v>Bluewave - Whitefield</v>
      </c>
      <c r="F24" s="8">
        <f>IFERROR(INDEX(Customers!$F$4:$F$13,MATCH(TRIM(D24),Customers!$B$4:$B$13,0)),IFERROR(INDEX(Customers!$F$4:$F$13,MATCH(TRIM(D24),Customers!$C$4:$C$13,0)),0))</f>
        <v>2</v>
      </c>
      <c r="G24" s="10">
        <f>Invoices!E21</f>
        <v>46265</v>
      </c>
      <c r="H24" s="8">
        <f>$B$2-G24</f>
        <v>20</v>
      </c>
      <c r="I24" s="8" t="str">
        <f>IF(G24&lt;$B$2,"OVERDUE","PENDING")</f>
        <v>OVERDUE</v>
      </c>
      <c r="J24" s="11">
        <f>Invoices!F21</f>
        <v>50000</v>
      </c>
      <c r="K24" s="11">
        <f>ROUND(J24*F24/100,2)</f>
        <v>1000</v>
      </c>
      <c r="L24" s="11">
        <f>SUMIFS('Payment Lines'!$C$4:$C$60,'Payment Lines'!$B$4:$B$60,B24)</f>
        <v>49000</v>
      </c>
      <c r="M24" s="11">
        <f>SUMIFS('Payment Lines'!$D$4:$D$60,'Payment Lines'!$B$4:$B$60,B24)</f>
        <v>1000</v>
      </c>
      <c r="N24" s="11">
        <f>ROUND(L24+SUMIFS('Payment Lines'!$D$4:$D$60,'Payment Lines'!$B$4:$B$60,B24,'Payment Lines'!$E$4:$E$60,"CURRENT"),2)</f>
        <v>50000</v>
      </c>
      <c r="O24" s="11">
        <f>IF(U24="CANCEL",J24,ROUND(J24-N24,2))</f>
        <v>0</v>
      </c>
      <c r="P24" s="8" t="str">
        <f>IF(U24="CANCEL","CANCELLED",IF(O24&lt;=0,"PAID",IF(G24&lt;$B$2,"OVERDUE",IF(N24&gt;0,"PARTIAL","PENDING"))))</f>
        <v>PAID</v>
      </c>
      <c r="Q24" s="11">
        <f>IF(F24=0,0,MAX(0,ROUND(K24-M24,2)))</f>
        <v>0</v>
      </c>
      <c r="R24" s="8" t="str">
        <f>IF(F24=0,"NOT_APPLICABLE",IF(AND(M24&gt;=K24,K24&gt;0),"CLEARED",IF(M24&gt;0,"PARTIAL","PENDING")))</f>
        <v>CLEARED</v>
      </c>
      <c r="S24" s="8">
        <f>COUNTIF('Payment Lines'!$B$4:$B$60,B24)</f>
        <v>1</v>
      </c>
      <c r="T24" s="9" t="s">
        <v>153</v>
      </c>
      <c r="U24" s="8" t="s">
        <v>136</v>
      </c>
    </row>
    <row r="25" spans="1:21" x14ac:dyDescent="0.25">
      <c r="A25" s="8">
        <v>21</v>
      </c>
      <c r="B25" s="9" t="str">
        <f>Invoices!A22</f>
        <v>ALL-2026-021</v>
      </c>
      <c r="C25" s="9" t="s">
        <v>69</v>
      </c>
      <c r="D25" s="9" t="str">
        <f>Invoices!B22</f>
        <v>Kaveri Tech Park LLP</v>
      </c>
      <c r="E25" s="9" t="str">
        <f>Invoices!C22</f>
        <v>Kaveri - Block 1</v>
      </c>
      <c r="F25" s="8">
        <f>IFERROR(INDEX(Customers!$F$4:$F$13,MATCH(TRIM(D25),Customers!$B$4:$B$13,0)),IFERROR(INDEX(Customers!$F$4:$F$13,MATCH(TRIM(D25),Customers!$C$4:$C$13,0)),0))</f>
        <v>10</v>
      </c>
      <c r="G25" s="10">
        <f>Invoices!E22</f>
        <v>46280</v>
      </c>
      <c r="H25" s="8">
        <f>$B$2-G25</f>
        <v>5</v>
      </c>
      <c r="I25" s="8" t="str">
        <f>IF(G25&lt;$B$2,"OVERDUE","PENDING")</f>
        <v>OVERDUE</v>
      </c>
      <c r="J25" s="11">
        <f>Invoices!F22</f>
        <v>100000</v>
      </c>
      <c r="K25" s="11">
        <f>ROUND(J25*F25/100,2)</f>
        <v>10000</v>
      </c>
      <c r="L25" s="11">
        <f>SUMIFS('Payment Lines'!$C$4:$C$60,'Payment Lines'!$B$4:$B$60,B25)</f>
        <v>90000</v>
      </c>
      <c r="M25" s="11">
        <f>SUMIFS('Payment Lines'!$D$4:$D$60,'Payment Lines'!$B$4:$B$60,B25)</f>
        <v>10000</v>
      </c>
      <c r="N25" s="11">
        <f>ROUND(L25+SUMIFS('Payment Lines'!$D$4:$D$60,'Payment Lines'!$B$4:$B$60,B25,'Payment Lines'!$E$4:$E$60,"CURRENT"),2)</f>
        <v>100000</v>
      </c>
      <c r="O25" s="11">
        <f>IF(U25="CANCEL",J25,ROUND(J25-N25,2))</f>
        <v>0</v>
      </c>
      <c r="P25" s="8" t="str">
        <f>IF(U25="CANCEL","CANCELLED",IF(O25&lt;=0,"PAID",IF(G25&lt;$B$2,"OVERDUE",IF(N25&gt;0,"PARTIAL","PENDING"))))</f>
        <v>PAID</v>
      </c>
      <c r="Q25" s="11">
        <f>IF(F25=0,0,MAX(0,ROUND(K25-M25,2)))</f>
        <v>0</v>
      </c>
      <c r="R25" s="8" t="str">
        <f>IF(F25=0,"NOT_APPLICABLE",IF(AND(M25&gt;=K25,K25&gt;0),"CLEARED",IF(M25&gt;0,"PARTIAL","PENDING")))</f>
        <v>CLEARED</v>
      </c>
      <c r="S25" s="8">
        <f>COUNTIF('Payment Lines'!$B$4:$B$60,B25)</f>
        <v>1</v>
      </c>
      <c r="T25" s="9" t="s">
        <v>154</v>
      </c>
      <c r="U25" s="8" t="s">
        <v>136</v>
      </c>
    </row>
    <row r="26" spans="1:21" x14ac:dyDescent="0.25">
      <c r="A26" s="8">
        <v>22</v>
      </c>
      <c r="B26" s="9" t="str">
        <f>Invoices!A23</f>
        <v>ALL-2026-022</v>
      </c>
      <c r="C26" s="9" t="s">
        <v>71</v>
      </c>
      <c r="D26" s="9" t="str">
        <f>Invoices!B23</f>
        <v>Green Meadow School</v>
      </c>
      <c r="E26" s="9" t="str">
        <f>Invoices!C23</f>
        <v>Green Meadow - Annex</v>
      </c>
      <c r="F26" s="8">
        <f>IFERROR(INDEX(Customers!$F$4:$F$13,MATCH(TRIM(D26),Customers!$B$4:$B$13,0)),IFERROR(INDEX(Customers!$F$4:$F$13,MATCH(TRIM(D26),Customers!$C$4:$C$13,0)),0))</f>
        <v>1.5</v>
      </c>
      <c r="G26" s="10">
        <f>Invoices!E23</f>
        <v>46295</v>
      </c>
      <c r="H26" s="8">
        <f>$B$2-G26</f>
        <v>-10</v>
      </c>
      <c r="I26" s="8" t="str">
        <f>IF(G26&lt;$B$2,"OVERDUE","PENDING")</f>
        <v>PENDING</v>
      </c>
      <c r="J26" s="11">
        <f>Invoices!F23</f>
        <v>40000</v>
      </c>
      <c r="K26" s="11">
        <f>ROUND(J26*F26/100,2)</f>
        <v>600</v>
      </c>
      <c r="L26" s="11">
        <f>SUMIFS('Payment Lines'!$C$4:$C$60,'Payment Lines'!$B$4:$B$60,B26)</f>
        <v>39400</v>
      </c>
      <c r="M26" s="11">
        <f>SUMIFS('Payment Lines'!$D$4:$D$60,'Payment Lines'!$B$4:$B$60,B26)</f>
        <v>600</v>
      </c>
      <c r="N26" s="11">
        <f>ROUND(L26+SUMIFS('Payment Lines'!$D$4:$D$60,'Payment Lines'!$B$4:$B$60,B26,'Payment Lines'!$E$4:$E$60,"CURRENT"),2)</f>
        <v>40000</v>
      </c>
      <c r="O26" s="11">
        <f>IF(U26="CANCEL",J26,ROUND(J26-N26,2))</f>
        <v>0</v>
      </c>
      <c r="P26" s="8" t="str">
        <f>IF(U26="CANCEL","CANCELLED",IF(O26&lt;=0,"PAID",IF(G26&lt;$B$2,"OVERDUE",IF(N26&gt;0,"PARTIAL","PENDING"))))</f>
        <v>PAID</v>
      </c>
      <c r="Q26" s="11">
        <f>IF(F26=0,0,MAX(0,ROUND(K26-M26,2)))</f>
        <v>0</v>
      </c>
      <c r="R26" s="8" t="str">
        <f>IF(F26=0,"NOT_APPLICABLE",IF(AND(M26&gt;=K26,K26&gt;0),"CLEARED",IF(M26&gt;0,"PARTIAL","PENDING")))</f>
        <v>CLEARED</v>
      </c>
      <c r="S26" s="8">
        <f>COUNTIF('Payment Lines'!$B$4:$B$60,B26)</f>
        <v>1</v>
      </c>
      <c r="T26" s="9" t="s">
        <v>155</v>
      </c>
      <c r="U26" s="8" t="s">
        <v>136</v>
      </c>
    </row>
    <row r="27" spans="1:21" x14ac:dyDescent="0.25">
      <c r="A27" s="8">
        <v>23</v>
      </c>
      <c r="B27" s="9" t="str">
        <f>Invoices!A24</f>
        <v>ALL-2026-023</v>
      </c>
      <c r="C27" s="9" t="s">
        <v>73</v>
      </c>
      <c r="D27" s="9" t="str">
        <f>Invoices!B24</f>
        <v>Bluewave Hotels Pvt Ltd</v>
      </c>
      <c r="E27" s="9" t="str">
        <f>Invoices!C24</f>
        <v>Bluewave - Koramangala</v>
      </c>
      <c r="F27" s="8">
        <f>IFERROR(INDEX(Customers!$F$4:$F$13,MATCH(TRIM(D27),Customers!$B$4:$B$13,0)),IFERROR(INDEX(Customers!$F$4:$F$13,MATCH(TRIM(D27),Customers!$C$4:$C$13,0)),0))</f>
        <v>2</v>
      </c>
      <c r="G27" s="10">
        <f>Invoices!E24</f>
        <v>46270</v>
      </c>
      <c r="H27" s="8">
        <f>$B$2-G27</f>
        <v>15</v>
      </c>
      <c r="I27" s="8" t="str">
        <f>IF(G27&lt;$B$2,"OVERDUE","PENDING")</f>
        <v>OVERDUE</v>
      </c>
      <c r="J27" s="11">
        <f>Invoices!F24</f>
        <v>30000</v>
      </c>
      <c r="K27" s="11">
        <f>ROUND(J27*F27/100,2)</f>
        <v>600</v>
      </c>
      <c r="L27" s="11">
        <f>SUMIFS('Payment Lines'!$C$4:$C$60,'Payment Lines'!$B$4:$B$60,B27)</f>
        <v>30000</v>
      </c>
      <c r="M27" s="11">
        <f>SUMIFS('Payment Lines'!$D$4:$D$60,'Payment Lines'!$B$4:$B$60,B27)</f>
        <v>600</v>
      </c>
      <c r="N27" s="11">
        <f>ROUND(L27+SUMIFS('Payment Lines'!$D$4:$D$60,'Payment Lines'!$B$4:$B$60,B27,'Payment Lines'!$E$4:$E$60,"CURRENT"),2)</f>
        <v>30000</v>
      </c>
      <c r="O27" s="11">
        <f>IF(U27="CANCEL",J27,ROUND(J27-N27,2))</f>
        <v>0</v>
      </c>
      <c r="P27" s="8" t="str">
        <f>IF(U27="CANCEL","CANCELLED",IF(O27&lt;=0,"PAID",IF(G27&lt;$B$2,"OVERDUE",IF(N27&gt;0,"PARTIAL","PENDING"))))</f>
        <v>PAID</v>
      </c>
      <c r="Q27" s="11">
        <f>IF(F27=0,0,MAX(0,ROUND(K27-M27,2)))</f>
        <v>0</v>
      </c>
      <c r="R27" s="8" t="str">
        <f>IF(F27=0,"NOT_APPLICABLE",IF(AND(M27&gt;=K27,K27&gt;0),"CLEARED",IF(M27&gt;0,"PARTIAL","PENDING")))</f>
        <v>CLEARED</v>
      </c>
      <c r="S27" s="8">
        <f>COUNTIF('Payment Lines'!$B$4:$B$60,B27)</f>
        <v>2</v>
      </c>
      <c r="T27" s="9" t="s">
        <v>156</v>
      </c>
      <c r="U27" s="8" t="s">
        <v>136</v>
      </c>
    </row>
    <row r="28" spans="1:21" x14ac:dyDescent="0.25">
      <c r="A28" s="8">
        <v>24</v>
      </c>
      <c r="B28" s="9" t="str">
        <f>Invoices!A25</f>
        <v>ALL-2026-024</v>
      </c>
      <c r="C28" s="9" t="s">
        <v>75</v>
      </c>
      <c r="D28" s="9" t="str">
        <f>Invoices!B25</f>
        <v>Kaveri Tech Park LLP</v>
      </c>
      <c r="E28" s="9" t="str">
        <f>Invoices!C25</f>
        <v>Kaveri - Block 2</v>
      </c>
      <c r="F28" s="8">
        <f>IFERROR(INDEX(Customers!$F$4:$F$13,MATCH(TRIM(D28),Customers!$B$4:$B$13,0)),IFERROR(INDEX(Customers!$F$4:$F$13,MATCH(TRIM(D28),Customers!$C$4:$C$13,0)),0))</f>
        <v>10</v>
      </c>
      <c r="G28" s="10">
        <f>Invoices!E25</f>
        <v>46287</v>
      </c>
      <c r="H28" s="8">
        <f>$B$2-G28</f>
        <v>-2</v>
      </c>
      <c r="I28" s="8" t="str">
        <f>IF(G28&lt;$B$2,"OVERDUE","PENDING")</f>
        <v>PENDING</v>
      </c>
      <c r="J28" s="11">
        <f>Invoices!F25</f>
        <v>20000</v>
      </c>
      <c r="K28" s="11">
        <f>ROUND(J28*F28/100,2)</f>
        <v>2000</v>
      </c>
      <c r="L28" s="11">
        <f>SUMIFS('Payment Lines'!$C$4:$C$60,'Payment Lines'!$B$4:$B$60,B28)</f>
        <v>20000</v>
      </c>
      <c r="M28" s="11">
        <f>SUMIFS('Payment Lines'!$D$4:$D$60,'Payment Lines'!$B$4:$B$60,B28)</f>
        <v>2000</v>
      </c>
      <c r="N28" s="11">
        <f>ROUND(L28+SUMIFS('Payment Lines'!$D$4:$D$60,'Payment Lines'!$B$4:$B$60,B28,'Payment Lines'!$E$4:$E$60,"CURRENT"),2)</f>
        <v>20000</v>
      </c>
      <c r="O28" s="11">
        <f>IF(U28="CANCEL",J28,ROUND(J28-N28,2))</f>
        <v>0</v>
      </c>
      <c r="P28" s="8" t="str">
        <f>IF(U28="CANCEL","CANCELLED",IF(O28&lt;=0,"PAID",IF(G28&lt;$B$2,"OVERDUE",IF(N28&gt;0,"PARTIAL","PENDING"))))</f>
        <v>PAID</v>
      </c>
      <c r="Q28" s="11">
        <f>IF(F28=0,0,MAX(0,ROUND(K28-M28,2)))</f>
        <v>0</v>
      </c>
      <c r="R28" s="8" t="str">
        <f>IF(F28=0,"NOT_APPLICABLE",IF(AND(M28&gt;=K28,K28&gt;0),"CLEARED",IF(M28&gt;0,"PARTIAL","PENDING")))</f>
        <v>CLEARED</v>
      </c>
      <c r="S28" s="8">
        <f>COUNTIF('Payment Lines'!$B$4:$B$60,B28)</f>
        <v>2</v>
      </c>
      <c r="T28" s="9" t="s">
        <v>157</v>
      </c>
      <c r="U28" s="8" t="s">
        <v>136</v>
      </c>
    </row>
    <row r="29" spans="1:21" x14ac:dyDescent="0.25">
      <c r="A29" s="8">
        <v>25</v>
      </c>
      <c r="B29" s="9" t="str">
        <f>Invoices!A26</f>
        <v>ALL-2026-025</v>
      </c>
      <c r="C29" s="9" t="s">
        <v>77</v>
      </c>
      <c r="D29" s="9" t="str">
        <f>Invoices!B26</f>
        <v>Lotus Diagnostics Centre</v>
      </c>
      <c r="E29" s="9" t="str">
        <f>Invoices!C26</f>
        <v>Lotus - HSR Lab</v>
      </c>
      <c r="F29" s="8">
        <f>IFERROR(INDEX(Customers!$F$4:$F$13,MATCH(TRIM(D29),Customers!$B$4:$B$13,0)),IFERROR(INDEX(Customers!$F$4:$F$13,MATCH(TRIM(D29),Customers!$C$4:$C$13,0)),0))</f>
        <v>2</v>
      </c>
      <c r="G29" s="10">
        <f>Invoices!E26</f>
        <v>46273</v>
      </c>
      <c r="H29" s="8">
        <f>$B$2-G29</f>
        <v>12</v>
      </c>
      <c r="I29" s="8" t="str">
        <f>IF(G29&lt;$B$2,"OVERDUE","PENDING")</f>
        <v>OVERDUE</v>
      </c>
      <c r="J29" s="11">
        <f>Invoices!F26</f>
        <v>60000</v>
      </c>
      <c r="K29" s="11">
        <f>ROUND(J29*F29/100,2)</f>
        <v>1200</v>
      </c>
      <c r="L29" s="11">
        <f>SUMIFS('Payment Lines'!$C$4:$C$60,'Payment Lines'!$B$4:$B$60,B29)</f>
        <v>20000</v>
      </c>
      <c r="M29" s="11">
        <f>SUMIFS('Payment Lines'!$D$4:$D$60,'Payment Lines'!$B$4:$B$60,B29)</f>
        <v>0</v>
      </c>
      <c r="N29" s="11">
        <f>ROUND(L29+SUMIFS('Payment Lines'!$D$4:$D$60,'Payment Lines'!$B$4:$B$60,B29,'Payment Lines'!$E$4:$E$60,"CURRENT"),2)</f>
        <v>20000</v>
      </c>
      <c r="O29" s="11">
        <f>IF(U29="CANCEL",J29,ROUND(J29-N29,2))</f>
        <v>40000</v>
      </c>
      <c r="P29" s="8" t="str">
        <f>IF(U29="CANCEL","CANCELLED",IF(O29&lt;=0,"PAID",IF(G29&lt;$B$2,"OVERDUE",IF(N29&gt;0,"PARTIAL","PENDING"))))</f>
        <v>OVERDUE</v>
      </c>
      <c r="Q29" s="11">
        <f>IF(F29=0,0,MAX(0,ROUND(K29-M29,2)))</f>
        <v>1200</v>
      </c>
      <c r="R29" s="8" t="str">
        <f>IF(F29=0,"NOT_APPLICABLE",IF(AND(M29&gt;=K29,K29&gt;0),"CLEARED",IF(M29&gt;0,"PARTIAL","PENDING")))</f>
        <v>PENDING</v>
      </c>
      <c r="S29" s="8">
        <f>COUNTIF('Payment Lines'!$B$4:$B$60,B29)</f>
        <v>1</v>
      </c>
      <c r="T29" s="9" t="s">
        <v>158</v>
      </c>
      <c r="U29" s="8" t="s">
        <v>136</v>
      </c>
    </row>
    <row r="30" spans="1:21" x14ac:dyDescent="0.25">
      <c r="A30" s="8">
        <v>26</v>
      </c>
      <c r="B30" s="9" t="str">
        <f>Invoices!A27</f>
        <v>ALL-2026-026</v>
      </c>
      <c r="C30" s="9" t="s">
        <v>79</v>
      </c>
      <c r="D30" s="9" t="str">
        <f>Invoices!B27</f>
        <v>Bluewave Hotels Pvt Ltd</v>
      </c>
      <c r="E30" s="9" t="str">
        <f>Invoices!C27</f>
        <v>Bluewave - Indiranagar</v>
      </c>
      <c r="F30" s="8">
        <f>IFERROR(INDEX(Customers!$F$4:$F$13,MATCH(TRIM(D30),Customers!$B$4:$B$13,0)),IFERROR(INDEX(Customers!$F$4:$F$13,MATCH(TRIM(D30),Customers!$C$4:$C$13,0)),0))</f>
        <v>2</v>
      </c>
      <c r="G30" s="10">
        <f>Invoices!E27</f>
        <v>46297</v>
      </c>
      <c r="H30" s="8">
        <f>$B$2-G30</f>
        <v>-12</v>
      </c>
      <c r="I30" s="8" t="str">
        <f>IF(G30&lt;$B$2,"OVERDUE","PENDING")</f>
        <v>PENDING</v>
      </c>
      <c r="J30" s="11">
        <f>Invoices!F27</f>
        <v>40000</v>
      </c>
      <c r="K30" s="11">
        <f>ROUND(J30*F30/100,2)</f>
        <v>800</v>
      </c>
      <c r="L30" s="11">
        <f>SUMIFS('Payment Lines'!$C$4:$C$60,'Payment Lines'!$B$4:$B$60,B30)</f>
        <v>39200</v>
      </c>
      <c r="M30" s="11">
        <f>SUMIFS('Payment Lines'!$D$4:$D$60,'Payment Lines'!$B$4:$B$60,B30)</f>
        <v>800</v>
      </c>
      <c r="N30" s="11">
        <f>ROUND(L30+SUMIFS('Payment Lines'!$D$4:$D$60,'Payment Lines'!$B$4:$B$60,B30,'Payment Lines'!$E$4:$E$60,"CURRENT"),2)</f>
        <v>40000</v>
      </c>
      <c r="O30" s="11">
        <f>IF(U30="CANCEL",J30,ROUND(J30-N30,2))</f>
        <v>0</v>
      </c>
      <c r="P30" s="8" t="str">
        <f>IF(U30="CANCEL","CANCELLED",IF(O30&lt;=0,"PAID",IF(G30&lt;$B$2,"OVERDUE",IF(N30&gt;0,"PARTIAL","PENDING"))))</f>
        <v>PAID</v>
      </c>
      <c r="Q30" s="11">
        <f>IF(F30=0,0,MAX(0,ROUND(K30-M30,2)))</f>
        <v>0</v>
      </c>
      <c r="R30" s="8" t="str">
        <f>IF(F30=0,"NOT_APPLICABLE",IF(AND(M30&gt;=K30,K30&gt;0),"CLEARED",IF(M30&gt;0,"PARTIAL","PENDING")))</f>
        <v>CLEARED</v>
      </c>
      <c r="S30" s="8">
        <f>COUNTIF('Payment Lines'!$B$4:$B$60,B30)</f>
        <v>2</v>
      </c>
      <c r="T30" s="9" t="s">
        <v>159</v>
      </c>
      <c r="U30" s="8" t="s">
        <v>136</v>
      </c>
    </row>
    <row r="31" spans="1:21" x14ac:dyDescent="0.25">
      <c r="A31" s="8">
        <v>27</v>
      </c>
      <c r="B31" s="9" t="str">
        <f>Invoices!A28</f>
        <v>ALL-2026-027</v>
      </c>
      <c r="C31" s="9" t="s">
        <v>81</v>
      </c>
      <c r="D31" s="9" t="str">
        <f>Invoices!B28</f>
        <v>Sunrise Apartments Owners Assn</v>
      </c>
      <c r="E31" s="9" t="str">
        <f>Invoices!C28</f>
        <v>Sunrise - Tower A</v>
      </c>
      <c r="F31" s="8">
        <f>IFERROR(INDEX(Customers!$F$4:$F$13,MATCH(TRIM(D31),Customers!$B$4:$B$13,0)),IFERROR(INDEX(Customers!$F$4:$F$13,MATCH(TRIM(D31),Customers!$C$4:$C$13,0)),0))</f>
        <v>0</v>
      </c>
      <c r="G31" s="10">
        <f>Invoices!E28</f>
        <v>46288</v>
      </c>
      <c r="H31" s="8">
        <f>$B$2-G31</f>
        <v>-3</v>
      </c>
      <c r="I31" s="8" t="str">
        <f>IF(G31&lt;$B$2,"OVERDUE","PENDING")</f>
        <v>PENDING</v>
      </c>
      <c r="J31" s="11">
        <f>Invoices!F28</f>
        <v>25000</v>
      </c>
      <c r="K31" s="11">
        <f>ROUND(J31*F31/100,2)</f>
        <v>0</v>
      </c>
      <c r="L31" s="11">
        <f>SUMIFS('Payment Lines'!$C$4:$C$60,'Payment Lines'!$B$4:$B$60,B31)</f>
        <v>25000</v>
      </c>
      <c r="M31" s="11">
        <f>SUMIFS('Payment Lines'!$D$4:$D$60,'Payment Lines'!$B$4:$B$60,B31)</f>
        <v>0</v>
      </c>
      <c r="N31" s="11">
        <f>ROUND(L31+SUMIFS('Payment Lines'!$D$4:$D$60,'Payment Lines'!$B$4:$B$60,B31,'Payment Lines'!$E$4:$E$60,"CURRENT"),2)</f>
        <v>25000</v>
      </c>
      <c r="O31" s="11">
        <f>IF(U31="CANCEL",J31,ROUND(J31-N31,2))</f>
        <v>0</v>
      </c>
      <c r="P31" s="8" t="str">
        <f>IF(U31="CANCEL","CANCELLED",IF(O31&lt;=0,"PAID",IF(G31&lt;$B$2,"OVERDUE",IF(N31&gt;0,"PARTIAL","PENDING"))))</f>
        <v>PAID</v>
      </c>
      <c r="Q31" s="11">
        <f>IF(F31=0,0,MAX(0,ROUND(K31-M31,2)))</f>
        <v>0</v>
      </c>
      <c r="R31" s="8" t="str">
        <f>IF(F31=0,"NOT_APPLICABLE",IF(AND(M31&gt;=K31,K31&gt;0),"CLEARED",IF(M31&gt;0,"PARTIAL","PENDING")))</f>
        <v>NOT_APPLICABLE</v>
      </c>
      <c r="S31" s="8">
        <f>COUNTIF('Payment Lines'!$B$4:$B$60,B31)</f>
        <v>2</v>
      </c>
      <c r="T31" s="9" t="s">
        <v>160</v>
      </c>
      <c r="U31" s="8" t="s">
        <v>136</v>
      </c>
    </row>
    <row r="32" spans="1:21" x14ac:dyDescent="0.25">
      <c r="A32" s="8">
        <v>28</v>
      </c>
      <c r="B32" s="9" t="str">
        <f>Invoices!A29</f>
        <v>ALL-2026-028</v>
      </c>
      <c r="C32" s="9" t="s">
        <v>83</v>
      </c>
      <c r="D32" s="9" t="str">
        <f>Invoices!B29</f>
        <v>Bluewave Hotels Pvt Ltd</v>
      </c>
      <c r="E32" s="9" t="str">
        <f>Invoices!C29</f>
        <v>Bluewave - Whitefield</v>
      </c>
      <c r="F32" s="8">
        <f>IFERROR(INDEX(Customers!$F$4:$F$13,MATCH(TRIM(D32),Customers!$B$4:$B$13,0)),IFERROR(INDEX(Customers!$F$4:$F$13,MATCH(TRIM(D32),Customers!$C$4:$C$13,0)),0))</f>
        <v>2</v>
      </c>
      <c r="G32" s="10">
        <f>Invoices!E29</f>
        <v>46295</v>
      </c>
      <c r="H32" s="8">
        <f>$B$2-G32</f>
        <v>-10</v>
      </c>
      <c r="I32" s="8" t="str">
        <f>IF(G32&lt;$B$2,"OVERDUE","PENDING")</f>
        <v>PENDING</v>
      </c>
      <c r="J32" s="11">
        <f>Invoices!F29</f>
        <v>20000</v>
      </c>
      <c r="K32" s="11">
        <f>ROUND(J32*F32/100,2)</f>
        <v>400</v>
      </c>
      <c r="L32" s="11">
        <f>SUMIFS('Payment Lines'!$C$4:$C$60,'Payment Lines'!$B$4:$B$60,B32)</f>
        <v>19600</v>
      </c>
      <c r="M32" s="11">
        <f>SUMIFS('Payment Lines'!$D$4:$D$60,'Payment Lines'!$B$4:$B$60,B32)</f>
        <v>400</v>
      </c>
      <c r="N32" s="11">
        <f>ROUND(L32+SUMIFS('Payment Lines'!$D$4:$D$60,'Payment Lines'!$B$4:$B$60,B32,'Payment Lines'!$E$4:$E$60,"CURRENT"),2)</f>
        <v>20000</v>
      </c>
      <c r="O32" s="11">
        <f>IF(U32="CANCEL",J32,ROUND(J32-N32,2))</f>
        <v>0</v>
      </c>
      <c r="P32" s="8" t="str">
        <f>IF(U32="CANCEL","CANCELLED",IF(O32&lt;=0,"PAID",IF(G32&lt;$B$2,"OVERDUE",IF(N32&gt;0,"PARTIAL","PENDING"))))</f>
        <v>PAID</v>
      </c>
      <c r="Q32" s="11">
        <f>IF(F32=0,0,MAX(0,ROUND(K32-M32,2)))</f>
        <v>0</v>
      </c>
      <c r="R32" s="8" t="str">
        <f>IF(F32=0,"NOT_APPLICABLE",IF(AND(M32&gt;=K32,K32&gt;0),"CLEARED",IF(M32&gt;0,"PARTIAL","PENDING")))</f>
        <v>CLEARED</v>
      </c>
      <c r="S32" s="8">
        <f>COUNTIF('Payment Lines'!$B$4:$B$60,B32)</f>
        <v>1</v>
      </c>
      <c r="T32" s="9" t="s">
        <v>161</v>
      </c>
      <c r="U32" s="8" t="s">
        <v>136</v>
      </c>
    </row>
    <row r="33" spans="1:21" x14ac:dyDescent="0.25">
      <c r="A33" s="8">
        <v>29</v>
      </c>
      <c r="B33" s="9" t="str">
        <f>Invoices!A30</f>
        <v>ALL-2026-029</v>
      </c>
      <c r="C33" s="9" t="s">
        <v>85</v>
      </c>
      <c r="D33" s="9" t="str">
        <f>Invoices!B30</f>
        <v>Bluewave Hotels Pvt Ltd</v>
      </c>
      <c r="E33" s="9" t="str">
        <f>Invoices!C30</f>
        <v>Bluewave - Koramangala</v>
      </c>
      <c r="F33" s="8">
        <f>IFERROR(INDEX(Customers!$F$4:$F$13,MATCH(TRIM(D33),Customers!$B$4:$B$13,0)),IFERROR(INDEX(Customers!$F$4:$F$13,MATCH(TRIM(D33),Customers!$C$4:$C$13,0)),0))</f>
        <v>2</v>
      </c>
      <c r="G33" s="10">
        <f>Invoices!E30</f>
        <v>46295</v>
      </c>
      <c r="H33" s="8">
        <f>$B$2-G33</f>
        <v>-10</v>
      </c>
      <c r="I33" s="8" t="str">
        <f>IF(G33&lt;$B$2,"OVERDUE","PENDING")</f>
        <v>PENDING</v>
      </c>
      <c r="J33" s="11">
        <f>Invoices!F30</f>
        <v>30000</v>
      </c>
      <c r="K33" s="11">
        <f>ROUND(J33*F33/100,2)</f>
        <v>600</v>
      </c>
      <c r="L33" s="11">
        <f>SUMIFS('Payment Lines'!$C$4:$C$60,'Payment Lines'!$B$4:$B$60,B33)</f>
        <v>29400</v>
      </c>
      <c r="M33" s="11">
        <f>SUMIFS('Payment Lines'!$D$4:$D$60,'Payment Lines'!$B$4:$B$60,B33)</f>
        <v>600</v>
      </c>
      <c r="N33" s="11">
        <f>ROUND(L33+SUMIFS('Payment Lines'!$D$4:$D$60,'Payment Lines'!$B$4:$B$60,B33,'Payment Lines'!$E$4:$E$60,"CURRENT"),2)</f>
        <v>30000</v>
      </c>
      <c r="O33" s="11">
        <f>IF(U33="CANCEL",J33,ROUND(J33-N33,2))</f>
        <v>0</v>
      </c>
      <c r="P33" s="8" t="str">
        <f>IF(U33="CANCEL","CANCELLED",IF(O33&lt;=0,"PAID",IF(G33&lt;$B$2,"OVERDUE",IF(N33&gt;0,"PARTIAL","PENDING"))))</f>
        <v>PAID</v>
      </c>
      <c r="Q33" s="11">
        <f>IF(F33=0,0,MAX(0,ROUND(K33-M33,2)))</f>
        <v>0</v>
      </c>
      <c r="R33" s="8" t="str">
        <f>IF(F33=0,"NOT_APPLICABLE",IF(AND(M33&gt;=K33,K33&gt;0),"CLEARED",IF(M33&gt;0,"PARTIAL","PENDING")))</f>
        <v>CLEARED</v>
      </c>
      <c r="S33" s="8">
        <f>COUNTIF('Payment Lines'!$B$4:$B$60,B33)</f>
        <v>1</v>
      </c>
      <c r="T33" s="9" t="s">
        <v>162</v>
      </c>
      <c r="U33" s="8" t="s">
        <v>136</v>
      </c>
    </row>
    <row r="34" spans="1:21" x14ac:dyDescent="0.25">
      <c r="A34" s="8">
        <v>30</v>
      </c>
      <c r="B34" s="9" t="str">
        <f>Invoices!A31</f>
        <v>ALL-2026-030</v>
      </c>
      <c r="C34" s="9" t="s">
        <v>87</v>
      </c>
      <c r="D34" s="9" t="str">
        <f>Invoices!B31</f>
        <v>Bluewave Hotels Pvt Ltd</v>
      </c>
      <c r="E34" s="9" t="str">
        <f>Invoices!C31</f>
        <v>Bluewave - Indiranagar</v>
      </c>
      <c r="F34" s="8">
        <f>IFERROR(INDEX(Customers!$F$4:$F$13,MATCH(TRIM(D34),Customers!$B$4:$B$13,0)),IFERROR(INDEX(Customers!$F$4:$F$13,MATCH(TRIM(D34),Customers!$C$4:$C$13,0)),0))</f>
        <v>2</v>
      </c>
      <c r="G34" s="10">
        <f>Invoices!E31</f>
        <v>46295</v>
      </c>
      <c r="H34" s="8">
        <f>$B$2-G34</f>
        <v>-10</v>
      </c>
      <c r="I34" s="8" t="str">
        <f>IF(G34&lt;$B$2,"OVERDUE","PENDING")</f>
        <v>PENDING</v>
      </c>
      <c r="J34" s="11">
        <f>Invoices!F31</f>
        <v>10000</v>
      </c>
      <c r="K34" s="11">
        <f>ROUND(J34*F34/100,2)</f>
        <v>200</v>
      </c>
      <c r="L34" s="11">
        <f>SUMIFS('Payment Lines'!$C$4:$C$60,'Payment Lines'!$B$4:$B$60,B34)</f>
        <v>5000</v>
      </c>
      <c r="M34" s="11">
        <f>SUMIFS('Payment Lines'!$D$4:$D$60,'Payment Lines'!$B$4:$B$60,B34)</f>
        <v>200</v>
      </c>
      <c r="N34" s="11">
        <f>ROUND(L34+SUMIFS('Payment Lines'!$D$4:$D$60,'Payment Lines'!$B$4:$B$60,B34,'Payment Lines'!$E$4:$E$60,"CURRENT"),2)</f>
        <v>5200</v>
      </c>
      <c r="O34" s="11">
        <f>IF(U34="CANCEL",J34,ROUND(J34-N34,2))</f>
        <v>4800</v>
      </c>
      <c r="P34" s="8" t="str">
        <f>IF(U34="CANCEL","CANCELLED",IF(O34&lt;=0,"PAID",IF(G34&lt;$B$2,"OVERDUE",IF(N34&gt;0,"PARTIAL","PENDING"))))</f>
        <v>PARTIAL</v>
      </c>
      <c r="Q34" s="11">
        <f>IF(F34=0,0,MAX(0,ROUND(K34-M34,2)))</f>
        <v>0</v>
      </c>
      <c r="R34" s="8" t="str">
        <f>IF(F34=0,"NOT_APPLICABLE",IF(AND(M34&gt;=K34,K34&gt;0),"CLEARED",IF(M34&gt;0,"PARTIAL","PENDING")))</f>
        <v>CLEARED</v>
      </c>
      <c r="S34" s="8">
        <f>COUNTIF('Payment Lines'!$B$4:$B$60,B34)</f>
        <v>1</v>
      </c>
      <c r="T34" s="9" t="s">
        <v>163</v>
      </c>
      <c r="U34" s="8" t="s">
        <v>136</v>
      </c>
    </row>
    <row r="35" spans="1:21" x14ac:dyDescent="0.25">
      <c r="A35" s="8">
        <v>31</v>
      </c>
      <c r="B35" s="9" t="str">
        <f>Invoices!A32</f>
        <v>ALL-2026-031</v>
      </c>
      <c r="C35" s="9" t="s">
        <v>89</v>
      </c>
      <c r="D35" s="9" t="str">
        <f>Invoices!B32</f>
        <v>Lotus Diagnostics Centre</v>
      </c>
      <c r="E35" s="9" t="str">
        <f>Invoices!C32</f>
        <v>Lotus - Jayanagar Lab</v>
      </c>
      <c r="F35" s="8">
        <f>IFERROR(INDEX(Customers!$F$4:$F$13,MATCH(TRIM(D35),Customers!$B$4:$B$13,0)),IFERROR(INDEX(Customers!$F$4:$F$13,MATCH(TRIM(D35),Customers!$C$4:$C$13,0)),0))</f>
        <v>2</v>
      </c>
      <c r="G35" s="10">
        <f>Invoices!E32</f>
        <v>46290</v>
      </c>
      <c r="H35" s="8">
        <f>$B$2-G35</f>
        <v>-5</v>
      </c>
      <c r="I35" s="8" t="str">
        <f>IF(G35&lt;$B$2,"OVERDUE","PENDING")</f>
        <v>PENDING</v>
      </c>
      <c r="J35" s="11">
        <f>Invoices!F32</f>
        <v>15000</v>
      </c>
      <c r="K35" s="11">
        <f>ROUND(J35*F35/100,2)</f>
        <v>300</v>
      </c>
      <c r="L35" s="11">
        <f>SUMIFS('Payment Lines'!$C$4:$C$60,'Payment Lines'!$B$4:$B$60,B35)</f>
        <v>14700</v>
      </c>
      <c r="M35" s="11">
        <f>SUMIFS('Payment Lines'!$D$4:$D$60,'Payment Lines'!$B$4:$B$60,B35)</f>
        <v>300</v>
      </c>
      <c r="N35" s="11">
        <f>ROUND(L35+SUMIFS('Payment Lines'!$D$4:$D$60,'Payment Lines'!$B$4:$B$60,B35,'Payment Lines'!$E$4:$E$60,"CURRENT"),2)</f>
        <v>15000</v>
      </c>
      <c r="O35" s="11">
        <f>IF(U35="CANCEL",J35,ROUND(J35-N35,2))</f>
        <v>0</v>
      </c>
      <c r="P35" s="8" t="str">
        <f>IF(U35="CANCEL","CANCELLED",IF(O35&lt;=0,"PAID",IF(G35&lt;$B$2,"OVERDUE",IF(N35&gt;0,"PARTIAL","PENDING"))))</f>
        <v>PAID</v>
      </c>
      <c r="Q35" s="11">
        <f>IF(F35=0,0,MAX(0,ROUND(K35-M35,2)))</f>
        <v>0</v>
      </c>
      <c r="R35" s="8" t="str">
        <f>IF(F35=0,"NOT_APPLICABLE",IF(AND(M35&gt;=K35,K35&gt;0),"CLEARED",IF(M35&gt;0,"PARTIAL","PENDING")))</f>
        <v>CLEARED</v>
      </c>
      <c r="S35" s="8">
        <f>COUNTIF('Payment Lines'!$B$4:$B$60,B35)</f>
        <v>1</v>
      </c>
      <c r="T35" s="9" t="s">
        <v>164</v>
      </c>
      <c r="U35" s="8" t="s">
        <v>136</v>
      </c>
    </row>
    <row r="36" spans="1:21" x14ac:dyDescent="0.25">
      <c r="A36" s="8">
        <v>32</v>
      </c>
      <c r="B36" s="9" t="str">
        <f>Invoices!A33</f>
        <v>ALL-2026-032</v>
      </c>
      <c r="C36" s="9" t="s">
        <v>91</v>
      </c>
      <c r="D36" s="9" t="str">
        <f>Invoices!B33</f>
        <v>Café Zoë &amp; Sons (Pvt) Ltd</v>
      </c>
      <c r="E36" s="9" t="str">
        <f>Invoices!C33</f>
        <v>Café Zoë - Kiosk 2</v>
      </c>
      <c r="F36" s="8">
        <f>IFERROR(INDEX(Customers!$F$4:$F$13,MATCH(TRIM(D36),Customers!$B$4:$B$13,0)),IFERROR(INDEX(Customers!$F$4:$F$13,MATCH(TRIM(D36),Customers!$C$4:$C$13,0)),0))</f>
        <v>0</v>
      </c>
      <c r="G36" s="10">
        <f>Invoices!E33</f>
        <v>46305</v>
      </c>
      <c r="H36" s="8">
        <f>$B$2-G36</f>
        <v>-20</v>
      </c>
      <c r="I36" s="8" t="str">
        <f>IF(G36&lt;$B$2,"OVERDUE","PENDING")</f>
        <v>PENDING</v>
      </c>
      <c r="J36" s="11">
        <f>Invoices!F33</f>
        <v>5000</v>
      </c>
      <c r="K36" s="11">
        <f>ROUND(J36*F36/100,2)</f>
        <v>0</v>
      </c>
      <c r="L36" s="11">
        <f>SUMIFS('Payment Lines'!$C$4:$C$60,'Payment Lines'!$B$4:$B$60,B36)</f>
        <v>0</v>
      </c>
      <c r="M36" s="11">
        <f>SUMIFS('Payment Lines'!$D$4:$D$60,'Payment Lines'!$B$4:$B$60,B36)</f>
        <v>0</v>
      </c>
      <c r="N36" s="11">
        <f>ROUND(L36+SUMIFS('Payment Lines'!$D$4:$D$60,'Payment Lines'!$B$4:$B$60,B36,'Payment Lines'!$E$4:$E$60,"CURRENT"),2)</f>
        <v>0</v>
      </c>
      <c r="O36" s="11">
        <f>IF(U36="CANCEL",J36,ROUND(J36-N36,2))</f>
        <v>5000</v>
      </c>
      <c r="P36" s="8" t="str">
        <f>IF(U36="CANCEL","CANCELLED",IF(O36&lt;=0,"PAID",IF(G36&lt;$B$2,"OVERDUE",IF(N36&gt;0,"PARTIAL","PENDING"))))</f>
        <v>CANCELLED</v>
      </c>
      <c r="Q36" s="11">
        <f>IF(F36=0,0,MAX(0,ROUND(K36-M36,2)))</f>
        <v>0</v>
      </c>
      <c r="R36" s="8" t="str">
        <f>IF(F36=0,"NOT_APPLICABLE",IF(AND(M36&gt;=K36,K36&gt;0),"CLEARED",IF(M36&gt;0,"PARTIAL","PENDING")))</f>
        <v>NOT_APPLICABLE</v>
      </c>
      <c r="S36" s="8">
        <f>COUNTIF('Payment Lines'!$B$4:$B$60,B36)</f>
        <v>0</v>
      </c>
      <c r="T36" s="9" t="s">
        <v>165</v>
      </c>
      <c r="U36" s="8" t="s">
        <v>166</v>
      </c>
    </row>
    <row r="37" spans="1:21" x14ac:dyDescent="0.25">
      <c r="A37" s="8">
        <v>33</v>
      </c>
      <c r="B37" s="9" t="str">
        <f>Invoices!A34</f>
        <v>ALL-2026-033</v>
      </c>
      <c r="C37" s="9" t="s">
        <v>93</v>
      </c>
      <c r="D37" s="9" t="str">
        <f>Invoices!B34</f>
        <v>Café Zoë &amp; Sons (Pvt) Ltd</v>
      </c>
      <c r="E37" s="9" t="str">
        <f>Invoices!C34</f>
        <v>Café Zoë - Main Outlet</v>
      </c>
      <c r="F37" s="8">
        <f>IFERROR(INDEX(Customers!$F$4:$F$13,MATCH(TRIM(D37),Customers!$B$4:$B$13,0)),IFERROR(INDEX(Customers!$F$4:$F$13,MATCH(TRIM(D37),Customers!$C$4:$C$13,0)),0))</f>
        <v>0</v>
      </c>
      <c r="G37" s="10">
        <f>Invoices!E34</f>
        <v>46305</v>
      </c>
      <c r="H37" s="8">
        <f>$B$2-G37</f>
        <v>-20</v>
      </c>
      <c r="I37" s="8" t="str">
        <f>IF(G37&lt;$B$2,"OVERDUE","PENDING")</f>
        <v>PENDING</v>
      </c>
      <c r="J37" s="11">
        <f>Invoices!F34</f>
        <v>7000</v>
      </c>
      <c r="K37" s="11">
        <f>ROUND(J37*F37/100,2)</f>
        <v>0</v>
      </c>
      <c r="L37" s="11">
        <f>SUMIFS('Payment Lines'!$C$4:$C$60,'Payment Lines'!$B$4:$B$60,B37)</f>
        <v>7000</v>
      </c>
      <c r="M37" s="11">
        <f>SUMIFS('Payment Lines'!$D$4:$D$60,'Payment Lines'!$B$4:$B$60,B37)</f>
        <v>0</v>
      </c>
      <c r="N37" s="11">
        <f>ROUND(L37+SUMIFS('Payment Lines'!$D$4:$D$60,'Payment Lines'!$B$4:$B$60,B37,'Payment Lines'!$E$4:$E$60,"CURRENT"),2)</f>
        <v>7000</v>
      </c>
      <c r="O37" s="11">
        <f>IF(U37="CANCEL",J37,ROUND(J37-N37,2))</f>
        <v>0</v>
      </c>
      <c r="P37" s="8" t="str">
        <f>IF(U37="CANCEL","CANCELLED",IF(O37&lt;=0,"PAID",IF(G37&lt;$B$2,"OVERDUE",IF(N37&gt;0,"PARTIAL","PENDING"))))</f>
        <v>PAID</v>
      </c>
      <c r="Q37" s="11">
        <f>IF(F37=0,0,MAX(0,ROUND(K37-M37,2)))</f>
        <v>0</v>
      </c>
      <c r="R37" s="8" t="str">
        <f>IF(F37=0,"NOT_APPLICABLE",IF(AND(M37&gt;=K37,K37&gt;0),"CLEARED",IF(M37&gt;0,"PARTIAL","PENDING")))</f>
        <v>NOT_APPLICABLE</v>
      </c>
      <c r="S37" s="8">
        <f>COUNTIF('Payment Lines'!$B$4:$B$60,B37)</f>
        <v>1</v>
      </c>
      <c r="T37" s="9" t="s">
        <v>167</v>
      </c>
      <c r="U37" s="8" t="s">
        <v>136</v>
      </c>
    </row>
    <row r="38" spans="1:21" x14ac:dyDescent="0.25">
      <c r="A38" s="8">
        <v>34</v>
      </c>
      <c r="B38" s="9" t="str">
        <f>Invoices!A35</f>
        <v>ALL-2026-034</v>
      </c>
      <c r="C38" s="9" t="s">
        <v>95</v>
      </c>
      <c r="D38" s="9" t="str">
        <f>Invoices!B35</f>
        <v>Bluewave Hotels Pvt Ltd</v>
      </c>
      <c r="E38" s="9" t="str">
        <f>Invoices!C35</f>
        <v>Bluewave - Indiranagar</v>
      </c>
      <c r="F38" s="8">
        <f>IFERROR(INDEX(Customers!$F$4:$F$13,MATCH(TRIM(D38),Customers!$B$4:$B$13,0)),IFERROR(INDEX(Customers!$F$4:$F$13,MATCH(TRIM(D38),Customers!$C$4:$C$13,0)),0))</f>
        <v>2</v>
      </c>
      <c r="G38" s="10">
        <f>Invoices!E35</f>
        <v>46300</v>
      </c>
      <c r="H38" s="8">
        <f>$B$2-G38</f>
        <v>-15</v>
      </c>
      <c r="I38" s="8" t="str">
        <f>IF(G38&lt;$B$2,"OVERDUE","PENDING")</f>
        <v>PENDING</v>
      </c>
      <c r="J38" s="11">
        <f>Invoices!F35</f>
        <v>33333</v>
      </c>
      <c r="K38" s="11">
        <f>ROUND(J38*F38/100,2)</f>
        <v>666.66</v>
      </c>
      <c r="L38" s="11">
        <f>SUMIFS('Payment Lines'!$C$4:$C$60,'Payment Lines'!$B$4:$B$60,B38)</f>
        <v>32666.34</v>
      </c>
      <c r="M38" s="11">
        <f>SUMIFS('Payment Lines'!$D$4:$D$60,'Payment Lines'!$B$4:$B$60,B38)</f>
        <v>666.66</v>
      </c>
      <c r="N38" s="11">
        <f>ROUND(L38+SUMIFS('Payment Lines'!$D$4:$D$60,'Payment Lines'!$B$4:$B$60,B38,'Payment Lines'!$E$4:$E$60,"CURRENT"),2)</f>
        <v>33333</v>
      </c>
      <c r="O38" s="11">
        <f>IF(U38="CANCEL",J38,ROUND(J38-N38,2))</f>
        <v>0</v>
      </c>
      <c r="P38" s="8" t="str">
        <f>IF(U38="CANCEL","CANCELLED",IF(O38&lt;=0,"PAID",IF(G38&lt;$B$2,"OVERDUE",IF(N38&gt;0,"PARTIAL","PENDING"))))</f>
        <v>PAID</v>
      </c>
      <c r="Q38" s="11">
        <f>IF(F38=0,0,MAX(0,ROUND(K38-M38,2)))</f>
        <v>0</v>
      </c>
      <c r="R38" s="8" t="str">
        <f>IF(F38=0,"NOT_APPLICABLE",IF(AND(M38&gt;=K38,K38&gt;0),"CLEARED",IF(M38&gt;0,"PARTIAL","PENDING")))</f>
        <v>CLEARED</v>
      </c>
      <c r="S38" s="8">
        <f>COUNTIF('Payment Lines'!$B$4:$B$60,B38)</f>
        <v>1</v>
      </c>
      <c r="T38" s="9" t="s">
        <v>168</v>
      </c>
      <c r="U38" s="8" t="s">
        <v>136</v>
      </c>
    </row>
    <row r="39" spans="1:21" x14ac:dyDescent="0.25">
      <c r="A39" s="8">
        <v>35</v>
      </c>
      <c r="B39" s="9" t="str">
        <f>Invoices!A36</f>
        <v>ALL-2026-035</v>
      </c>
      <c r="C39" s="9" t="s">
        <v>97</v>
      </c>
      <c r="D39" s="9" t="str">
        <f>Invoices!B36</f>
        <v>Kaveri Tech Park LLP</v>
      </c>
      <c r="E39" s="9" t="str">
        <f>Invoices!C36</f>
        <v>Kaveri - Food Court</v>
      </c>
      <c r="F39" s="8">
        <f>IFERROR(INDEX(Customers!$F$4:$F$13,MATCH(TRIM(D39),Customers!$B$4:$B$13,0)),IFERROR(INDEX(Customers!$F$4:$F$13,MATCH(TRIM(D39),Customers!$C$4:$C$13,0)),0))</f>
        <v>10</v>
      </c>
      <c r="G39" s="10">
        <f>Invoices!E36</f>
        <v>46300</v>
      </c>
      <c r="H39" s="8">
        <f>$B$2-G39</f>
        <v>-15</v>
      </c>
      <c r="I39" s="8" t="str">
        <f>IF(G39&lt;$B$2,"OVERDUE","PENDING")</f>
        <v>PENDING</v>
      </c>
      <c r="J39" s="11">
        <f>Invoices!F36</f>
        <v>45678.9</v>
      </c>
      <c r="K39" s="11">
        <f>ROUND(J39*F39/100,2)</f>
        <v>4567.89</v>
      </c>
      <c r="L39" s="11">
        <f>SUMIFS('Payment Lines'!$C$4:$C$60,'Payment Lines'!$B$4:$B$60,B39)</f>
        <v>41111.01</v>
      </c>
      <c r="M39" s="11">
        <f>SUMIFS('Payment Lines'!$D$4:$D$60,'Payment Lines'!$B$4:$B$60,B39)</f>
        <v>4567.89</v>
      </c>
      <c r="N39" s="11">
        <f>ROUND(L39+SUMIFS('Payment Lines'!$D$4:$D$60,'Payment Lines'!$B$4:$B$60,B39,'Payment Lines'!$E$4:$E$60,"CURRENT"),2)</f>
        <v>45678.9</v>
      </c>
      <c r="O39" s="11">
        <f>IF(U39="CANCEL",J39,ROUND(J39-N39,2))</f>
        <v>0</v>
      </c>
      <c r="P39" s="8" t="str">
        <f>IF(U39="CANCEL","CANCELLED",IF(O39&lt;=0,"PAID",IF(G39&lt;$B$2,"OVERDUE",IF(N39&gt;0,"PARTIAL","PENDING"))))</f>
        <v>PAID</v>
      </c>
      <c r="Q39" s="11">
        <f>IF(F39=0,0,MAX(0,ROUND(K39-M39,2)))</f>
        <v>0</v>
      </c>
      <c r="R39" s="8" t="str">
        <f>IF(F39=0,"NOT_APPLICABLE",IF(AND(M39&gt;=K39,K39&gt;0),"CLEARED",IF(M39&gt;0,"PARTIAL","PENDING")))</f>
        <v>CLEARED</v>
      </c>
      <c r="S39" s="8">
        <f>COUNTIF('Payment Lines'!$B$4:$B$60,B39)</f>
        <v>1</v>
      </c>
      <c r="T39" s="9" t="s">
        <v>169</v>
      </c>
      <c r="U39" s="8" t="s">
        <v>136</v>
      </c>
    </row>
    <row r="40" spans="1:21" x14ac:dyDescent="0.25">
      <c r="A40" s="8">
        <v>36</v>
      </c>
      <c r="B40" s="9" t="str">
        <f>Invoices!A37</f>
        <v>ALL-2026-036</v>
      </c>
      <c r="C40" s="9" t="s">
        <v>99</v>
      </c>
      <c r="D40" s="9" t="str">
        <f>Invoices!B37</f>
        <v>Lotus Diagnostics Centre</v>
      </c>
      <c r="E40" s="9" t="str">
        <f>Invoices!C37</f>
        <v>Lotus - HSR Lab</v>
      </c>
      <c r="F40" s="8">
        <f>IFERROR(INDEX(Customers!$F$4:$F$13,MATCH(TRIM(D40),Customers!$B$4:$B$13,0)),IFERROR(INDEX(Customers!$F$4:$F$13,MATCH(TRIM(D40),Customers!$C$4:$C$13,0)),0))</f>
        <v>2</v>
      </c>
      <c r="G40" s="10">
        <f>Invoices!E37</f>
        <v>46300</v>
      </c>
      <c r="H40" s="8">
        <f>$B$2-G40</f>
        <v>-15</v>
      </c>
      <c r="I40" s="8" t="str">
        <f>IF(G40&lt;$B$2,"OVERDUE","PENDING")</f>
        <v>PENDING</v>
      </c>
      <c r="J40" s="11">
        <f>Invoices!F37</f>
        <v>1234.56</v>
      </c>
      <c r="K40" s="11">
        <f>ROUND(J40*F40/100,2)</f>
        <v>24.69</v>
      </c>
      <c r="L40" s="11">
        <f>SUMIFS('Payment Lines'!$C$4:$C$60,'Payment Lines'!$B$4:$B$60,B40)</f>
        <v>1209.87</v>
      </c>
      <c r="M40" s="11">
        <f>SUMIFS('Payment Lines'!$D$4:$D$60,'Payment Lines'!$B$4:$B$60,B40)</f>
        <v>24.69</v>
      </c>
      <c r="N40" s="11">
        <f>ROUND(L40+SUMIFS('Payment Lines'!$D$4:$D$60,'Payment Lines'!$B$4:$B$60,B40,'Payment Lines'!$E$4:$E$60,"CURRENT"),2)</f>
        <v>1234.56</v>
      </c>
      <c r="O40" s="11">
        <f>IF(U40="CANCEL",J40,ROUND(J40-N40,2))</f>
        <v>0</v>
      </c>
      <c r="P40" s="8" t="str">
        <f>IF(U40="CANCEL","CANCELLED",IF(O40&lt;=0,"PAID",IF(G40&lt;$B$2,"OVERDUE",IF(N40&gt;0,"PARTIAL","PENDING"))))</f>
        <v>PAID</v>
      </c>
      <c r="Q40" s="11">
        <f>IF(F40=0,0,MAX(0,ROUND(K40-M40,2)))</f>
        <v>0</v>
      </c>
      <c r="R40" s="8" t="str">
        <f>IF(F40=0,"NOT_APPLICABLE",IF(AND(M40&gt;=K40,K40&gt;0),"CLEARED",IF(M40&gt;0,"PARTIAL","PENDING")))</f>
        <v>CLEARED</v>
      </c>
      <c r="S40" s="8">
        <f>COUNTIF('Payment Lines'!$B$4:$B$60,B40)</f>
        <v>1</v>
      </c>
      <c r="T40" s="9" t="s">
        <v>170</v>
      </c>
      <c r="U40" s="8" t="s">
        <v>136</v>
      </c>
    </row>
    <row r="41" spans="1:21" x14ac:dyDescent="0.25">
      <c r="A41" s="8">
        <v>37</v>
      </c>
      <c r="B41" s="9" t="str">
        <f>Invoices!A38</f>
        <v>ALL-2026-037</v>
      </c>
      <c r="C41" s="9" t="s">
        <v>101</v>
      </c>
      <c r="D41" s="9" t="str">
        <f>Invoices!B38</f>
        <v>Green Meadow School</v>
      </c>
      <c r="E41" s="9" t="str">
        <f>Invoices!C38</f>
        <v>Green Meadow - Main Campus</v>
      </c>
      <c r="F41" s="8">
        <f>IFERROR(INDEX(Customers!$F$4:$F$13,MATCH(TRIM(D41),Customers!$B$4:$B$13,0)),IFERROR(INDEX(Customers!$F$4:$F$13,MATCH(TRIM(D41),Customers!$C$4:$C$13,0)),0))</f>
        <v>1.5</v>
      </c>
      <c r="G41" s="10">
        <f>Invoices!E38</f>
        <v>46300</v>
      </c>
      <c r="H41" s="8">
        <f>$B$2-G41</f>
        <v>-15</v>
      </c>
      <c r="I41" s="8" t="str">
        <f>IF(G41&lt;$B$2,"OVERDUE","PENDING")</f>
        <v>PENDING</v>
      </c>
      <c r="J41" s="11">
        <f>Invoices!F38</f>
        <v>8750.75</v>
      </c>
      <c r="K41" s="11">
        <f>ROUND(J41*F41/100,2)</f>
        <v>131.26</v>
      </c>
      <c r="L41" s="11">
        <f>SUMIFS('Payment Lines'!$C$4:$C$60,'Payment Lines'!$B$4:$B$60,B41)</f>
        <v>8619.49</v>
      </c>
      <c r="M41" s="11">
        <f>SUMIFS('Payment Lines'!$D$4:$D$60,'Payment Lines'!$B$4:$B$60,B41)</f>
        <v>131.26</v>
      </c>
      <c r="N41" s="11">
        <f>ROUND(L41+SUMIFS('Payment Lines'!$D$4:$D$60,'Payment Lines'!$B$4:$B$60,B41,'Payment Lines'!$E$4:$E$60,"CURRENT"),2)</f>
        <v>8750.75</v>
      </c>
      <c r="O41" s="11">
        <f>IF(U41="CANCEL",J41,ROUND(J41-N41,2))</f>
        <v>0</v>
      </c>
      <c r="P41" s="8" t="str">
        <f>IF(U41="CANCEL","CANCELLED",IF(O41&lt;=0,"PAID",IF(G41&lt;$B$2,"OVERDUE",IF(N41&gt;0,"PARTIAL","PENDING"))))</f>
        <v>PAID</v>
      </c>
      <c r="Q41" s="11">
        <f>IF(F41=0,0,MAX(0,ROUND(K41-M41,2)))</f>
        <v>0</v>
      </c>
      <c r="R41" s="8" t="str">
        <f>IF(F41=0,"NOT_APPLICABLE",IF(AND(M41&gt;=K41,K41&gt;0),"CLEARED",IF(M41&gt;0,"PARTIAL","PENDING")))</f>
        <v>CLEARED</v>
      </c>
      <c r="S41" s="8">
        <f>COUNTIF('Payment Lines'!$B$4:$B$60,B41)</f>
        <v>1</v>
      </c>
      <c r="T41" s="9" t="s">
        <v>171</v>
      </c>
      <c r="U41" s="8" t="s">
        <v>136</v>
      </c>
    </row>
    <row r="42" spans="1:21" x14ac:dyDescent="0.25">
      <c r="A42" s="8">
        <v>38</v>
      </c>
      <c r="B42" s="9" t="str">
        <f>Invoices!A39</f>
        <v>ALL-2026-038</v>
      </c>
      <c r="C42" s="9" t="s">
        <v>103</v>
      </c>
      <c r="D42" s="9" t="str">
        <f>Invoices!B39</f>
        <v>Café Zoë &amp; Sons (Pvt) Ltd</v>
      </c>
      <c r="E42" s="9" t="str">
        <f>Invoices!C39</f>
        <v>Café Zoë - Main Outlet</v>
      </c>
      <c r="F42" s="8">
        <f>IFERROR(INDEX(Customers!$F$4:$F$13,MATCH(TRIM(D42),Customers!$B$4:$B$13,0)),IFERROR(INDEX(Customers!$F$4:$F$13,MATCH(TRIM(D42),Customers!$C$4:$C$13,0)),0))</f>
        <v>0</v>
      </c>
      <c r="G42" s="10">
        <f>Invoices!E39</f>
        <v>46300</v>
      </c>
      <c r="H42" s="8">
        <f>$B$2-G42</f>
        <v>-15</v>
      </c>
      <c r="I42" s="8" t="str">
        <f>IF(G42&lt;$B$2,"OVERDUE","PENDING")</f>
        <v>PENDING</v>
      </c>
      <c r="J42" s="11">
        <f>Invoices!F39</f>
        <v>0.01</v>
      </c>
      <c r="K42" s="11">
        <f>ROUND(J42*F42/100,2)</f>
        <v>0</v>
      </c>
      <c r="L42" s="11">
        <f>SUMIFS('Payment Lines'!$C$4:$C$60,'Payment Lines'!$B$4:$B$60,B42)</f>
        <v>0.01</v>
      </c>
      <c r="M42" s="11">
        <f>SUMIFS('Payment Lines'!$D$4:$D$60,'Payment Lines'!$B$4:$B$60,B42)</f>
        <v>0</v>
      </c>
      <c r="N42" s="11">
        <f>ROUND(L42+SUMIFS('Payment Lines'!$D$4:$D$60,'Payment Lines'!$B$4:$B$60,B42,'Payment Lines'!$E$4:$E$60,"CURRENT"),2)</f>
        <v>0.01</v>
      </c>
      <c r="O42" s="11">
        <f>IF(U42="CANCEL",J42,ROUND(J42-N42,2))</f>
        <v>0</v>
      </c>
      <c r="P42" s="8" t="str">
        <f>IF(U42="CANCEL","CANCELLED",IF(O42&lt;=0,"PAID",IF(G42&lt;$B$2,"OVERDUE",IF(N42&gt;0,"PARTIAL","PENDING"))))</f>
        <v>PAID</v>
      </c>
      <c r="Q42" s="11">
        <f>IF(F42=0,0,MAX(0,ROUND(K42-M42,2)))</f>
        <v>0</v>
      </c>
      <c r="R42" s="8" t="str">
        <f>IF(F42=0,"NOT_APPLICABLE",IF(AND(M42&gt;=K42,K42&gt;0),"CLEARED",IF(M42&gt;0,"PARTIAL","PENDING")))</f>
        <v>NOT_APPLICABLE</v>
      </c>
      <c r="S42" s="8">
        <f>COUNTIF('Payment Lines'!$B$4:$B$60,B42)</f>
        <v>1</v>
      </c>
      <c r="T42" s="9" t="s">
        <v>172</v>
      </c>
      <c r="U42" s="8" t="s">
        <v>136</v>
      </c>
    </row>
    <row r="43" spans="1:21" x14ac:dyDescent="0.25">
      <c r="A43" s="8">
        <v>39</v>
      </c>
      <c r="B43" s="9" t="str">
        <f>Invoices!A40</f>
        <v>ALL-2026-039</v>
      </c>
      <c r="C43" s="9" t="s">
        <v>105</v>
      </c>
      <c r="D43" s="9" t="str">
        <f>Invoices!B40</f>
        <v>Kaveri Tech Park LLP</v>
      </c>
      <c r="E43" s="9" t="str">
        <f>Invoices!C40</f>
        <v>Kaveri - Block 2</v>
      </c>
      <c r="F43" s="8">
        <f>IFERROR(INDEX(Customers!$F$4:$F$13,MATCH(TRIM(D43),Customers!$B$4:$B$13,0)),IFERROR(INDEX(Customers!$F$4:$F$13,MATCH(TRIM(D43),Customers!$C$4:$C$13,0)),0))</f>
        <v>10</v>
      </c>
      <c r="G43" s="10">
        <f>Invoices!E40</f>
        <v>46345</v>
      </c>
      <c r="H43" s="8">
        <f>$B$2-G43</f>
        <v>-60</v>
      </c>
      <c r="I43" s="8" t="str">
        <f>IF(G43&lt;$B$2,"OVERDUE","PENDING")</f>
        <v>PENDING</v>
      </c>
      <c r="J43" s="11">
        <f>Invoices!F40</f>
        <v>9999999.5</v>
      </c>
      <c r="K43" s="11">
        <f>ROUND(J43*F43/100,2)</f>
        <v>999999.95</v>
      </c>
      <c r="L43" s="11">
        <f>SUMIFS('Payment Lines'!$C$4:$C$60,'Payment Lines'!$B$4:$B$60,B43)</f>
        <v>0</v>
      </c>
      <c r="M43" s="11">
        <f>SUMIFS('Payment Lines'!$D$4:$D$60,'Payment Lines'!$B$4:$B$60,B43)</f>
        <v>0</v>
      </c>
      <c r="N43" s="11">
        <f>ROUND(L43+SUMIFS('Payment Lines'!$D$4:$D$60,'Payment Lines'!$B$4:$B$60,B43,'Payment Lines'!$E$4:$E$60,"CURRENT"),2)</f>
        <v>0</v>
      </c>
      <c r="O43" s="11">
        <f>IF(U43="CANCEL",J43,ROUND(J43-N43,2))</f>
        <v>9999999.5</v>
      </c>
      <c r="P43" s="8" t="str">
        <f>IF(U43="CANCEL","CANCELLED",IF(O43&lt;=0,"PAID",IF(G43&lt;$B$2,"OVERDUE",IF(N43&gt;0,"PARTIAL","PENDING"))))</f>
        <v>PENDING</v>
      </c>
      <c r="Q43" s="11">
        <f>IF(F43=0,0,MAX(0,ROUND(K43-M43,2)))</f>
        <v>999999.95</v>
      </c>
      <c r="R43" s="8" t="str">
        <f>IF(F43=0,"NOT_APPLICABLE",IF(AND(M43&gt;=K43,K43&gt;0),"CLEARED",IF(M43&gt;0,"PARTIAL","PENDING")))</f>
        <v>PENDING</v>
      </c>
      <c r="S43" s="8">
        <f>COUNTIF('Payment Lines'!$B$4:$B$60,B43)</f>
        <v>0</v>
      </c>
      <c r="T43" s="9" t="s">
        <v>173</v>
      </c>
      <c r="U43" s="8" t="s">
        <v>136</v>
      </c>
    </row>
    <row r="44" spans="1:21" x14ac:dyDescent="0.25">
      <c r="A44" s="8">
        <v>40</v>
      </c>
      <c r="B44" s="9" t="str">
        <f>Invoices!A41</f>
        <v>ALL-2026-040</v>
      </c>
      <c r="C44" s="9" t="s">
        <v>107</v>
      </c>
      <c r="D44" s="9" t="str">
        <f>Invoices!B41</f>
        <v>Sunrise Apartments Owners Assn</v>
      </c>
      <c r="E44" s="9" t="str">
        <f>Invoices!C41</f>
        <v>Sunrise - Clubhouse</v>
      </c>
      <c r="F44" s="8">
        <f>IFERROR(INDEX(Customers!$F$4:$F$13,MATCH(TRIM(D44),Customers!$B$4:$B$13,0)),IFERROR(INDEX(Customers!$F$4:$F$13,MATCH(TRIM(D44),Customers!$C$4:$C$13,0)),0))</f>
        <v>0</v>
      </c>
      <c r="G44" s="10">
        <f>Invoices!E41</f>
        <v>46085</v>
      </c>
      <c r="H44" s="8">
        <f>$B$2-G44</f>
        <v>200</v>
      </c>
      <c r="I44" s="8" t="str">
        <f>IF(G44&lt;$B$2,"OVERDUE","PENDING")</f>
        <v>OVERDUE</v>
      </c>
      <c r="J44" s="11">
        <f>Invoices!F41</f>
        <v>15000</v>
      </c>
      <c r="K44" s="11">
        <f>ROUND(J44*F44/100,2)</f>
        <v>0</v>
      </c>
      <c r="L44" s="11">
        <f>SUMIFS('Payment Lines'!$C$4:$C$60,'Payment Lines'!$B$4:$B$60,B44)</f>
        <v>0</v>
      </c>
      <c r="M44" s="11">
        <f>SUMIFS('Payment Lines'!$D$4:$D$60,'Payment Lines'!$B$4:$B$60,B44)</f>
        <v>0</v>
      </c>
      <c r="N44" s="11">
        <f>ROUND(L44+SUMIFS('Payment Lines'!$D$4:$D$60,'Payment Lines'!$B$4:$B$60,B44,'Payment Lines'!$E$4:$E$60,"CURRENT"),2)</f>
        <v>0</v>
      </c>
      <c r="O44" s="11">
        <f>IF(U44="CANCEL",J44,ROUND(J44-N44,2))</f>
        <v>15000</v>
      </c>
      <c r="P44" s="8" t="str">
        <f>IF(U44="CANCEL","CANCELLED",IF(O44&lt;=0,"PAID",IF(G44&lt;$B$2,"OVERDUE",IF(N44&gt;0,"PARTIAL","PENDING"))))</f>
        <v>OVERDUE</v>
      </c>
      <c r="Q44" s="11">
        <f>IF(F44=0,0,MAX(0,ROUND(K44-M44,2)))</f>
        <v>0</v>
      </c>
      <c r="R44" s="8" t="str">
        <f>IF(F44=0,"NOT_APPLICABLE",IF(AND(M44&gt;=K44,K44&gt;0),"CLEARED",IF(M44&gt;0,"PARTIAL","PENDING")))</f>
        <v>NOT_APPLICABLE</v>
      </c>
      <c r="S44" s="8">
        <f>COUNTIF('Payment Lines'!$B$4:$B$60,B44)</f>
        <v>0</v>
      </c>
      <c r="T44" s="9" t="s">
        <v>174</v>
      </c>
      <c r="U44" s="8" t="s">
        <v>136</v>
      </c>
    </row>
    <row r="45" spans="1:21" x14ac:dyDescent="0.25">
      <c r="A45" s="8">
        <v>41</v>
      </c>
      <c r="B45" s="9" t="str">
        <f>Invoices!A42</f>
        <v>ALL-2026-041</v>
      </c>
      <c r="C45" s="9" t="s">
        <v>110</v>
      </c>
      <c r="D45" s="9" t="str">
        <f>Invoices!B42</f>
        <v>BWH01</v>
      </c>
      <c r="E45" s="9" t="str">
        <f>Invoices!C42</f>
        <v>Bluewave - Indiranagar</v>
      </c>
      <c r="F45" s="8">
        <f>IFERROR(INDEX(Customers!$F$4:$F$13,MATCH(TRIM(D45),Customers!$B$4:$B$13,0)),IFERROR(INDEX(Customers!$F$4:$F$13,MATCH(TRIM(D45),Customers!$C$4:$C$13,0)),0))</f>
        <v>2</v>
      </c>
      <c r="G45" s="10">
        <f>Invoices!E42</f>
        <v>46303</v>
      </c>
      <c r="H45" s="8">
        <f>$B$2-G45</f>
        <v>-18</v>
      </c>
      <c r="I45" s="8" t="str">
        <f>IF(G45&lt;$B$2,"OVERDUE","PENDING")</f>
        <v>PENDING</v>
      </c>
      <c r="J45" s="11">
        <f>Invoices!F42</f>
        <v>11000</v>
      </c>
      <c r="K45" s="11">
        <f>ROUND(J45*F45/100,2)</f>
        <v>220</v>
      </c>
      <c r="L45" s="11">
        <f>SUMIFS('Payment Lines'!$C$4:$C$60,'Payment Lines'!$B$4:$B$60,B45)</f>
        <v>0</v>
      </c>
      <c r="M45" s="11">
        <f>SUMIFS('Payment Lines'!$D$4:$D$60,'Payment Lines'!$B$4:$B$60,B45)</f>
        <v>0</v>
      </c>
      <c r="N45" s="11">
        <f>ROUND(L45+SUMIFS('Payment Lines'!$D$4:$D$60,'Payment Lines'!$B$4:$B$60,B45,'Payment Lines'!$E$4:$E$60,"CURRENT"),2)</f>
        <v>0</v>
      </c>
      <c r="O45" s="11">
        <f>IF(U45="CANCEL",J45,ROUND(J45-N45,2))</f>
        <v>11000</v>
      </c>
      <c r="P45" s="8" t="str">
        <f>IF(U45="CANCEL","CANCELLED",IF(O45&lt;=0,"PAID",IF(G45&lt;$B$2,"OVERDUE",IF(N45&gt;0,"PARTIAL","PENDING"))))</f>
        <v>PENDING</v>
      </c>
      <c r="Q45" s="11">
        <f>IF(F45=0,0,MAX(0,ROUND(K45-M45,2)))</f>
        <v>220</v>
      </c>
      <c r="R45" s="8" t="str">
        <f>IF(F45=0,"NOT_APPLICABLE",IF(AND(M45&gt;=K45,K45&gt;0),"CLEARED",IF(M45&gt;0,"PARTIAL","PENDING")))</f>
        <v>PENDING</v>
      </c>
      <c r="S45" s="8">
        <f>COUNTIF('Payment Lines'!$B$4:$B$60,B45)</f>
        <v>0</v>
      </c>
      <c r="T45" s="9" t="s">
        <v>175</v>
      </c>
      <c r="U45" s="8" t="s">
        <v>136</v>
      </c>
    </row>
    <row r="46" spans="1:21" x14ac:dyDescent="0.25">
      <c r="A46" s="8">
        <v>42</v>
      </c>
      <c r="B46" s="9" t="str">
        <f>Invoices!A43</f>
        <v>ALL-2026-042</v>
      </c>
      <c r="C46" s="9" t="s">
        <v>114</v>
      </c>
      <c r="D46" s="9" t="str">
        <f>Invoices!B43</f>
        <v>  BLUEWAVE HOTELS PVT LTD </v>
      </c>
      <c r="E46" s="9" t="str">
        <f>Invoices!C43</f>
        <v>bluewave - whitefield</v>
      </c>
      <c r="F46" s="8">
        <f>IFERROR(INDEX(Customers!$F$4:$F$13,MATCH(TRIM(D46),Customers!$B$4:$B$13,0)),IFERROR(INDEX(Customers!$F$4:$F$13,MATCH(TRIM(D46),Customers!$C$4:$C$13,0)),0))</f>
        <v>2</v>
      </c>
      <c r="G46" s="10">
        <f>Invoices!E43</f>
        <v>46303</v>
      </c>
      <c r="H46" s="8">
        <f>$B$2-G46</f>
        <v>-18</v>
      </c>
      <c r="I46" s="8" t="str">
        <f>IF(G46&lt;$B$2,"OVERDUE","PENDING")</f>
        <v>PENDING</v>
      </c>
      <c r="J46" s="11">
        <f>Invoices!F43</f>
        <v>12000</v>
      </c>
      <c r="K46" s="11">
        <f>ROUND(J46*F46/100,2)</f>
        <v>240</v>
      </c>
      <c r="L46" s="11">
        <f>SUMIFS('Payment Lines'!$C$4:$C$60,'Payment Lines'!$B$4:$B$60,B46)</f>
        <v>0</v>
      </c>
      <c r="M46" s="11">
        <f>SUMIFS('Payment Lines'!$D$4:$D$60,'Payment Lines'!$B$4:$B$60,B46)</f>
        <v>0</v>
      </c>
      <c r="N46" s="11">
        <f>ROUND(L46+SUMIFS('Payment Lines'!$D$4:$D$60,'Payment Lines'!$B$4:$B$60,B46,'Payment Lines'!$E$4:$E$60,"CURRENT"),2)</f>
        <v>0</v>
      </c>
      <c r="O46" s="11">
        <f>IF(U46="CANCEL",J46,ROUND(J46-N46,2))</f>
        <v>12000</v>
      </c>
      <c r="P46" s="8" t="str">
        <f>IF(U46="CANCEL","CANCELLED",IF(O46&lt;=0,"PAID",IF(G46&lt;$B$2,"OVERDUE",IF(N46&gt;0,"PARTIAL","PENDING"))))</f>
        <v>PENDING</v>
      </c>
      <c r="Q46" s="11">
        <f>IF(F46=0,0,MAX(0,ROUND(K46-M46,2)))</f>
        <v>240</v>
      </c>
      <c r="R46" s="8" t="str">
        <f>IF(F46=0,"NOT_APPLICABLE",IF(AND(M46&gt;=K46,K46&gt;0),"CLEARED",IF(M46&gt;0,"PARTIAL","PENDING")))</f>
        <v>PENDING</v>
      </c>
      <c r="S46" s="8">
        <f>COUNTIF('Payment Lines'!$B$4:$B$60,B46)</f>
        <v>0</v>
      </c>
      <c r="T46" s="9" t="s">
        <v>176</v>
      </c>
      <c r="U46" s="8" t="s">
        <v>136</v>
      </c>
    </row>
    <row r="49" spans="2:3" x14ac:dyDescent="0.25">
      <c r="B49" s="5" t="s">
        <v>177</v>
      </c>
      <c r="C49" s="5"/>
    </row>
    <row r="50" spans="2:3" x14ac:dyDescent="0.25">
      <c r="B50" s="12" t="s">
        <v>178</v>
      </c>
      <c r="C50" s="13">
        <f>COUNTIF($P$5:$P$46,B50)</f>
        <v>16</v>
      </c>
    </row>
    <row r="51" spans="2:3" x14ac:dyDescent="0.25">
      <c r="B51" s="12" t="s">
        <v>179</v>
      </c>
      <c r="C51" s="13">
        <f>COUNTIF($P$5:$P$46,B51)</f>
        <v>2</v>
      </c>
    </row>
    <row r="52" spans="2:3" x14ac:dyDescent="0.25">
      <c r="B52" s="12" t="s">
        <v>180</v>
      </c>
      <c r="C52" s="13">
        <f>COUNTIF($P$5:$P$46,B52)</f>
        <v>8</v>
      </c>
    </row>
    <row r="53" spans="2:3" x14ac:dyDescent="0.25">
      <c r="B53" s="12" t="s">
        <v>181</v>
      </c>
      <c r="C53" s="13">
        <f>COUNTIF($P$5:$P$46,B53)</f>
        <v>15</v>
      </c>
    </row>
    <row r="54" spans="2:3" x14ac:dyDescent="0.25">
      <c r="B54" s="12" t="s">
        <v>182</v>
      </c>
      <c r="C54" s="13">
        <f>COUNTIF($P$5:$P$46,B54)</f>
        <v>1</v>
      </c>
    </row>
    <row r="55" spans="2:3" x14ac:dyDescent="0.25">
      <c r="B55" s="12"/>
      <c r="C55" s="13"/>
    </row>
    <row r="56" spans="2:3" x14ac:dyDescent="0.25">
      <c r="B56" s="12" t="s">
        <v>183</v>
      </c>
      <c r="C56" s="13">
        <f>COUNTIF($R$5:$R$46,"CLEARED")</f>
        <v>14</v>
      </c>
    </row>
    <row r="57" spans="2:3" x14ac:dyDescent="0.25">
      <c r="B57" s="12" t="s">
        <v>184</v>
      </c>
      <c r="C57" s="13">
        <f>COUNTIF($R$5:$R$46,"PARTIAL")</f>
        <v>1</v>
      </c>
    </row>
    <row r="58" spans="2:3" x14ac:dyDescent="0.25">
      <c r="B58" s="12" t="s">
        <v>185</v>
      </c>
      <c r="C58" s="13">
        <f>COUNTIF($R$5:$R$46,"PENDING")</f>
        <v>16</v>
      </c>
    </row>
    <row r="59" spans="2:3" x14ac:dyDescent="0.25">
      <c r="B59" s="12" t="s">
        <v>186</v>
      </c>
      <c r="C59" s="13">
        <f>COUNTIF($R$5:$R$46,"NOT_APPLICABLE")</f>
        <v>11</v>
      </c>
    </row>
    <row r="60" spans="2:3" x14ac:dyDescent="0.25">
      <c r="B60" s="12"/>
      <c r="C60" s="13"/>
    </row>
    <row r="61" spans="2:3" x14ac:dyDescent="0.25">
      <c r="B61" s="12" t="s">
        <v>187</v>
      </c>
      <c r="C61" s="13">
        <f>COUNTA($B$5:$B$46)</f>
        <v>42</v>
      </c>
    </row>
    <row r="62" spans="2:3" x14ac:dyDescent="0.25">
      <c r="B62" s="12" t="s">
        <v>188</v>
      </c>
      <c r="C62" s="14">
        <f>SUM($J$5:$J$46)</f>
        <v>11534687.47</v>
      </c>
    </row>
    <row r="63" spans="2:3" x14ac:dyDescent="0.25">
      <c r="B63" s="12" t="s">
        <v>189</v>
      </c>
      <c r="C63" s="13">
        <f>COUNTIF($I$5:$I$46,"OVERDUE")</f>
        <v>11</v>
      </c>
    </row>
    <row r="64" spans="2:3" x14ac:dyDescent="0.25">
      <c r="B64" s="12" t="s">
        <v>190</v>
      </c>
      <c r="C64" s="13">
        <f>COUNTIF($I$5:$I$46,"PENDING")</f>
        <v>31</v>
      </c>
    </row>
  </sheetData>
  <conditionalFormatting sqref="P5:P46">
    <cfRule type="cellIs" dxfId="0" priority="1" operator="equal">
      <formula>"PAID"</formula>
    </cfRule>
    <cfRule type="cellIs" dxfId="1" priority="2" operator="equal">
      <formula>"OVERDUE"</formula>
    </cfRule>
    <cfRule type="cellIs" dxfId="2" priority="3" operator="equal">
      <formula>"PARTIAL"</formula>
    </cfRule>
    <cfRule type="cellIs" dxfId="3" priority="4" operator="equal">
      <formula>"CANCELLED"</formula>
    </cfRule>
  </conditionalFormatting>
  <conditionalFormatting sqref="I5:I46">
    <cfRule type="cellIs" dxfId="4" priority="5" operator="equal">
      <formula>"OVERDUE"</formula>
    </cfRule>
  </conditionalFormatting>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13" customWidth="1"/>
    <col min="4" max="4" width="32" customWidth="1"/>
    <col min="5" max="5" width="16" customWidth="1"/>
    <col min="6" max="7" width="18" customWidth="1"/>
    <col min="8" max="8" width="16" customWidth="1"/>
    <col min="9" max="9" width="14" customWidth="1"/>
    <col min="10" max="11" width="16" customWidth="1"/>
    <col min="12" max="12" width="12" customWidth="1"/>
    <col min="13" max="13" width="44" customWidth="1"/>
  </cols>
  <sheetData>
    <row r="1" spans="1:1" x14ac:dyDescent="0.25">
      <c r="A1" s="15" t="s">
        <v>191</v>
      </c>
    </row>
    <row r="3" ht="34" customHeight="1" spans="1:13" x14ac:dyDescent="0.25">
      <c r="A3" s="7" t="s">
        <v>192</v>
      </c>
      <c r="B3" s="7" t="s">
        <v>193</v>
      </c>
      <c r="C3" s="7" t="s">
        <v>194</v>
      </c>
      <c r="D3" s="7" t="s">
        <v>1</v>
      </c>
      <c r="E3" s="7" t="s">
        <v>195</v>
      </c>
      <c r="F3" s="7" t="s">
        <v>196</v>
      </c>
      <c r="G3" s="7" t="s">
        <v>197</v>
      </c>
      <c r="H3" s="7" t="s">
        <v>198</v>
      </c>
      <c r="I3" s="7" t="s">
        <v>199</v>
      </c>
      <c r="J3" s="7" t="s">
        <v>200</v>
      </c>
      <c r="K3" s="7" t="s">
        <v>201</v>
      </c>
      <c r="L3" s="7" t="s">
        <v>202</v>
      </c>
      <c r="M3" s="7" t="s">
        <v>203</v>
      </c>
    </row>
    <row r="4" spans="1:13" x14ac:dyDescent="0.25">
      <c r="A4" s="8">
        <v>1</v>
      </c>
      <c r="B4" s="8" t="s">
        <v>204</v>
      </c>
      <c r="C4" s="16">
        <v>46281</v>
      </c>
      <c r="D4" s="9" t="s">
        <v>8</v>
      </c>
      <c r="E4" s="8" t="s">
        <v>205</v>
      </c>
      <c r="F4" s="9" t="s">
        <v>206</v>
      </c>
      <c r="G4" s="17">
        <f>ROUND(SUMIFS('Payment Lines'!$C$4:$C$60,'Payment Lines'!$A$4:$A$60,B4)+H4,2)</f>
        <v>49000</v>
      </c>
      <c r="H4" s="18">
        <v>0</v>
      </c>
      <c r="I4" s="11">
        <f>ROUND(SUMIFS('Payment Lines'!$D$4:$D$60,'Payment Lines'!$A$4:$A$60,B4),2)</f>
        <v>1000</v>
      </c>
      <c r="J4" s="11">
        <f>ROUND(SUMIFS('Payment Lines'!$C$4:$C$60,'Payment Lines'!$A$4:$A$60,B4)+I4,2)</f>
        <v>50000</v>
      </c>
      <c r="K4" s="11">
        <f>ROUND(H4,2)</f>
        <v>0</v>
      </c>
      <c r="L4" s="8">
        <f>COUNTIF('Payment Lines'!$A$4:$A$60,B4)</f>
        <v>1</v>
      </c>
      <c r="M4" s="9" t="s">
        <v>207</v>
      </c>
    </row>
    <row r="5" spans="1:13" x14ac:dyDescent="0.25">
      <c r="A5" s="8">
        <v>2</v>
      </c>
      <c r="B5" s="8" t="s">
        <v>208</v>
      </c>
      <c r="C5" s="16">
        <v>46281</v>
      </c>
      <c r="D5" s="9" t="s">
        <v>12</v>
      </c>
      <c r="E5" s="8" t="s">
        <v>205</v>
      </c>
      <c r="F5" s="9" t="s">
        <v>209</v>
      </c>
      <c r="G5" s="17">
        <f>ROUND(SUMIFS('Payment Lines'!$C$4:$C$60,'Payment Lines'!$A$4:$A$60,B5)+H5,2)</f>
        <v>90000</v>
      </c>
      <c r="H5" s="18">
        <v>0</v>
      </c>
      <c r="I5" s="11">
        <f>ROUND(SUMIFS('Payment Lines'!$D$4:$D$60,'Payment Lines'!$A$4:$A$60,B5),2)</f>
        <v>10000</v>
      </c>
      <c r="J5" s="11">
        <f>ROUND(SUMIFS('Payment Lines'!$C$4:$C$60,'Payment Lines'!$A$4:$A$60,B5)+I5,2)</f>
        <v>100000</v>
      </c>
      <c r="K5" s="11">
        <f>ROUND(H5,2)</f>
        <v>0</v>
      </c>
      <c r="L5" s="8">
        <f>COUNTIF('Payment Lines'!$A$4:$A$60,B5)</f>
        <v>1</v>
      </c>
      <c r="M5" s="9" t="s">
        <v>136</v>
      </c>
    </row>
    <row r="6" spans="1:13" x14ac:dyDescent="0.25">
      <c r="A6" s="8">
        <v>3</v>
      </c>
      <c r="B6" s="8" t="s">
        <v>210</v>
      </c>
      <c r="C6" s="16">
        <v>46281</v>
      </c>
      <c r="D6" s="9" t="s">
        <v>16</v>
      </c>
      <c r="E6" s="8" t="s">
        <v>211</v>
      </c>
      <c r="F6" s="9" t="s">
        <v>212</v>
      </c>
      <c r="G6" s="17">
        <f>ROUND(SUMIFS('Payment Lines'!$C$4:$C$60,'Payment Lines'!$A$4:$A$60,B6)+H6,2)</f>
        <v>39400</v>
      </c>
      <c r="H6" s="18">
        <v>0</v>
      </c>
      <c r="I6" s="11">
        <f>ROUND(SUMIFS('Payment Lines'!$D$4:$D$60,'Payment Lines'!$A$4:$A$60,B6),2)</f>
        <v>600</v>
      </c>
      <c r="J6" s="11">
        <f>ROUND(SUMIFS('Payment Lines'!$C$4:$C$60,'Payment Lines'!$A$4:$A$60,B6)+I6,2)</f>
        <v>40000</v>
      </c>
      <c r="K6" s="11">
        <f>ROUND(H6,2)</f>
        <v>0</v>
      </c>
      <c r="L6" s="8">
        <f>COUNTIF('Payment Lines'!$A$4:$A$60,B6)</f>
        <v>1</v>
      </c>
      <c r="M6" s="9" t="s">
        <v>136</v>
      </c>
    </row>
    <row r="7" spans="1:13" x14ac:dyDescent="0.25">
      <c r="A7" s="8">
        <v>4</v>
      </c>
      <c r="B7" s="8" t="s">
        <v>213</v>
      </c>
      <c r="C7" s="16">
        <v>46281</v>
      </c>
      <c r="D7" s="9" t="s">
        <v>8</v>
      </c>
      <c r="E7" s="8" t="s">
        <v>214</v>
      </c>
      <c r="F7" s="9" t="s">
        <v>215</v>
      </c>
      <c r="G7" s="17">
        <f>ROUND(SUMIFS('Payment Lines'!$C$4:$C$60,'Payment Lines'!$A$4:$A$60,B7)+H7,2)</f>
        <v>30000</v>
      </c>
      <c r="H7" s="18">
        <v>0</v>
      </c>
      <c r="I7" s="11">
        <f>ROUND(SUMIFS('Payment Lines'!$D$4:$D$60,'Payment Lines'!$A$4:$A$60,B7),2)</f>
        <v>0</v>
      </c>
      <c r="J7" s="11">
        <f>ROUND(SUMIFS('Payment Lines'!$C$4:$C$60,'Payment Lines'!$A$4:$A$60,B7)+I7,2)</f>
        <v>30000</v>
      </c>
      <c r="K7" s="11">
        <f>ROUND(H7,2)</f>
        <v>0</v>
      </c>
      <c r="L7" s="8">
        <f>COUNTIF('Payment Lines'!$A$4:$A$60,B7)</f>
        <v>1</v>
      </c>
      <c r="M7" s="9" t="s">
        <v>136</v>
      </c>
    </row>
    <row r="8" spans="1:13" x14ac:dyDescent="0.25">
      <c r="A8" s="8">
        <v>5</v>
      </c>
      <c r="B8" s="8" t="s">
        <v>216</v>
      </c>
      <c r="C8" s="16">
        <v>46281</v>
      </c>
      <c r="D8" s="9" t="s">
        <v>12</v>
      </c>
      <c r="E8" s="8" t="s">
        <v>217</v>
      </c>
      <c r="F8" s="9" t="s">
        <v>218</v>
      </c>
      <c r="G8" s="17">
        <f>ROUND(SUMIFS('Payment Lines'!$C$4:$C$60,'Payment Lines'!$A$4:$A$60,B8)+H8,2)</f>
        <v>20000</v>
      </c>
      <c r="H8" s="18">
        <v>0</v>
      </c>
      <c r="I8" s="11">
        <f>ROUND(SUMIFS('Payment Lines'!$D$4:$D$60,'Payment Lines'!$A$4:$A$60,B8),2)</f>
        <v>0</v>
      </c>
      <c r="J8" s="11">
        <f>ROUND(SUMIFS('Payment Lines'!$C$4:$C$60,'Payment Lines'!$A$4:$A$60,B8)+I8,2)</f>
        <v>20000</v>
      </c>
      <c r="K8" s="11">
        <f>ROUND(H8,2)</f>
        <v>0</v>
      </c>
      <c r="L8" s="8">
        <f>COUNTIF('Payment Lines'!$A$4:$A$60,B8)</f>
        <v>1</v>
      </c>
      <c r="M8" s="9" t="s">
        <v>136</v>
      </c>
    </row>
    <row r="9" spans="1:13" x14ac:dyDescent="0.25">
      <c r="A9" s="8">
        <v>6</v>
      </c>
      <c r="B9" s="8" t="s">
        <v>219</v>
      </c>
      <c r="C9" s="16">
        <v>46281</v>
      </c>
      <c r="D9" s="9" t="s">
        <v>34</v>
      </c>
      <c r="E9" s="8" t="s">
        <v>205</v>
      </c>
      <c r="F9" s="9" t="s">
        <v>220</v>
      </c>
      <c r="G9" s="17">
        <f>ROUND(SUMIFS('Payment Lines'!$C$4:$C$60,'Payment Lines'!$A$4:$A$60,B9)+H9,2)</f>
        <v>20000</v>
      </c>
      <c r="H9" s="18">
        <v>0</v>
      </c>
      <c r="I9" s="11">
        <f>ROUND(SUMIFS('Payment Lines'!$D$4:$D$60,'Payment Lines'!$A$4:$A$60,B9),2)</f>
        <v>0</v>
      </c>
      <c r="J9" s="11">
        <f>ROUND(SUMIFS('Payment Lines'!$C$4:$C$60,'Payment Lines'!$A$4:$A$60,B9)+I9,2)</f>
        <v>20000</v>
      </c>
      <c r="K9" s="11">
        <f>ROUND(H9,2)</f>
        <v>0</v>
      </c>
      <c r="L9" s="8">
        <f>COUNTIF('Payment Lines'!$A$4:$A$60,B9)</f>
        <v>1</v>
      </c>
      <c r="M9" s="9" t="s">
        <v>136</v>
      </c>
    </row>
    <row r="10" spans="1:13" x14ac:dyDescent="0.25">
      <c r="A10" s="8">
        <v>7</v>
      </c>
      <c r="B10" s="8" t="s">
        <v>221</v>
      </c>
      <c r="C10" s="16">
        <v>46281</v>
      </c>
      <c r="D10" s="9" t="s">
        <v>8</v>
      </c>
      <c r="E10" s="8" t="s">
        <v>214</v>
      </c>
      <c r="F10" s="9" t="s">
        <v>222</v>
      </c>
      <c r="G10" s="17">
        <f>ROUND(SUMIFS('Payment Lines'!$C$4:$C$60,'Payment Lines'!$A$4:$A$60,B10)+H10,2)</f>
        <v>29400</v>
      </c>
      <c r="H10" s="18">
        <v>0</v>
      </c>
      <c r="I10" s="11">
        <f>ROUND(SUMIFS('Payment Lines'!$D$4:$D$60,'Payment Lines'!$A$4:$A$60,B10),2)</f>
        <v>600</v>
      </c>
      <c r="J10" s="11">
        <f>ROUND(SUMIFS('Payment Lines'!$C$4:$C$60,'Payment Lines'!$A$4:$A$60,B10)+I10,2)</f>
        <v>30000</v>
      </c>
      <c r="K10" s="11">
        <f>ROUND(H10,2)</f>
        <v>0</v>
      </c>
      <c r="L10" s="8">
        <f>COUNTIF('Payment Lines'!$A$4:$A$60,B10)</f>
        <v>1</v>
      </c>
      <c r="M10" s="9" t="s">
        <v>136</v>
      </c>
    </row>
    <row r="11" spans="1:13" x14ac:dyDescent="0.25">
      <c r="A11" s="8">
        <v>8</v>
      </c>
      <c r="B11" s="8" t="s">
        <v>223</v>
      </c>
      <c r="C11" s="16">
        <v>46281</v>
      </c>
      <c r="D11" s="9" t="s">
        <v>20</v>
      </c>
      <c r="E11" s="8" t="s">
        <v>211</v>
      </c>
      <c r="F11" s="9" t="s">
        <v>224</v>
      </c>
      <c r="G11" s="17">
        <f>ROUND(SUMIFS('Payment Lines'!$C$4:$C$60,'Payment Lines'!$A$4:$A$60,B11)+H11,2)</f>
        <v>10000</v>
      </c>
      <c r="H11" s="18">
        <v>0</v>
      </c>
      <c r="I11" s="11">
        <f>ROUND(SUMIFS('Payment Lines'!$D$4:$D$60,'Payment Lines'!$A$4:$A$60,B11),2)</f>
        <v>0</v>
      </c>
      <c r="J11" s="11">
        <f>ROUND(SUMIFS('Payment Lines'!$C$4:$C$60,'Payment Lines'!$A$4:$A$60,B11)+I11,2)</f>
        <v>10000</v>
      </c>
      <c r="K11" s="11">
        <f>ROUND(H11,2)</f>
        <v>0</v>
      </c>
      <c r="L11" s="8">
        <f>COUNTIF('Payment Lines'!$A$4:$A$60,B11)</f>
        <v>1</v>
      </c>
      <c r="M11" s="9" t="s">
        <v>136</v>
      </c>
    </row>
    <row r="12" spans="1:13" x14ac:dyDescent="0.25">
      <c r="A12" s="8">
        <v>9</v>
      </c>
      <c r="B12" s="8" t="s">
        <v>225</v>
      </c>
      <c r="C12" s="16">
        <v>46281</v>
      </c>
      <c r="D12" s="9" t="s">
        <v>8</v>
      </c>
      <c r="E12" s="8" t="s">
        <v>205</v>
      </c>
      <c r="F12" s="9" t="s">
        <v>226</v>
      </c>
      <c r="G12" s="17">
        <f>ROUND(SUMIFS('Payment Lines'!$C$4:$C$60,'Payment Lines'!$A$4:$A$60,B12)+H12,2)</f>
        <v>54000</v>
      </c>
      <c r="H12" s="18">
        <v>0</v>
      </c>
      <c r="I12" s="11">
        <f>ROUND(SUMIFS('Payment Lines'!$D$4:$D$60,'Payment Lines'!$A$4:$A$60,B12),2)</f>
        <v>1200</v>
      </c>
      <c r="J12" s="11">
        <f>ROUND(SUMIFS('Payment Lines'!$C$4:$C$60,'Payment Lines'!$A$4:$A$60,B12)+I12,2)</f>
        <v>55200</v>
      </c>
      <c r="K12" s="11">
        <f>ROUND(H12,2)</f>
        <v>0</v>
      </c>
      <c r="L12" s="8">
        <f>COUNTIF('Payment Lines'!$A$4:$A$60,B12)</f>
        <v>3</v>
      </c>
      <c r="M12" s="9" t="s">
        <v>227</v>
      </c>
    </row>
    <row r="13" spans="1:13" x14ac:dyDescent="0.25">
      <c r="A13" s="8">
        <v>10</v>
      </c>
      <c r="B13" s="8" t="s">
        <v>228</v>
      </c>
      <c r="C13" s="16">
        <v>46281</v>
      </c>
      <c r="D13" s="9" t="s">
        <v>34</v>
      </c>
      <c r="E13" s="8" t="s">
        <v>229</v>
      </c>
      <c r="F13" s="9" t="s">
        <v>230</v>
      </c>
      <c r="G13" s="17">
        <f>ROUND(SUMIFS('Payment Lines'!$C$4:$C$60,'Payment Lines'!$A$4:$A$60,B13)+H13,2)</f>
        <v>20000</v>
      </c>
      <c r="H13" s="18">
        <v>5300</v>
      </c>
      <c r="I13" s="11">
        <f>ROUND(SUMIFS('Payment Lines'!$D$4:$D$60,'Payment Lines'!$A$4:$A$60,B13),2)</f>
        <v>300</v>
      </c>
      <c r="J13" s="11">
        <f>ROUND(SUMIFS('Payment Lines'!$C$4:$C$60,'Payment Lines'!$A$4:$A$60,B13)+I13,2)</f>
        <v>15000</v>
      </c>
      <c r="K13" s="11">
        <f>ROUND(H13,2)</f>
        <v>5300</v>
      </c>
      <c r="L13" s="8">
        <f>COUNTIF('Payment Lines'!$A$4:$A$60,B13)</f>
        <v>1</v>
      </c>
      <c r="M13" s="9" t="s">
        <v>231</v>
      </c>
    </row>
    <row r="14" spans="1:13" x14ac:dyDescent="0.25">
      <c r="A14" s="8">
        <v>11</v>
      </c>
      <c r="B14" s="8" t="s">
        <v>232</v>
      </c>
      <c r="C14" s="16">
        <v>46281</v>
      </c>
      <c r="D14" s="9" t="s">
        <v>24</v>
      </c>
      <c r="E14" s="8" t="s">
        <v>233</v>
      </c>
      <c r="F14" s="9" t="s">
        <v>234</v>
      </c>
      <c r="G14" s="17">
        <f>ROUND(SUMIFS('Payment Lines'!$C$4:$C$60,'Payment Lines'!$A$4:$A$60,B14)+H14,2)</f>
        <v>7000</v>
      </c>
      <c r="H14" s="18">
        <v>0</v>
      </c>
      <c r="I14" s="11">
        <f>ROUND(SUMIFS('Payment Lines'!$D$4:$D$60,'Payment Lines'!$A$4:$A$60,B14),2)</f>
        <v>0</v>
      </c>
      <c r="J14" s="11">
        <f>ROUND(SUMIFS('Payment Lines'!$C$4:$C$60,'Payment Lines'!$A$4:$A$60,B14)+I14,2)</f>
        <v>7000</v>
      </c>
      <c r="K14" s="11">
        <f>ROUND(H14,2)</f>
        <v>0</v>
      </c>
      <c r="L14" s="8">
        <f>COUNTIF('Payment Lines'!$A$4:$A$60,B14)</f>
        <v>1</v>
      </c>
      <c r="M14" s="9" t="s">
        <v>136</v>
      </c>
    </row>
    <row r="15" spans="1:13" x14ac:dyDescent="0.25">
      <c r="A15" s="8">
        <v>12</v>
      </c>
      <c r="B15" s="8" t="s">
        <v>235</v>
      </c>
      <c r="C15" s="16">
        <v>46281</v>
      </c>
      <c r="D15" s="9" t="s">
        <v>8</v>
      </c>
      <c r="E15" s="8" t="s">
        <v>205</v>
      </c>
      <c r="F15" s="9" t="s">
        <v>236</v>
      </c>
      <c r="G15" s="17">
        <f>ROUND(SUMIFS('Payment Lines'!$C$4:$C$60,'Payment Lines'!$A$4:$A$60,B15)+H15,2)</f>
        <v>32666.34</v>
      </c>
      <c r="H15" s="18">
        <v>0</v>
      </c>
      <c r="I15" s="11">
        <f>ROUND(SUMIFS('Payment Lines'!$D$4:$D$60,'Payment Lines'!$A$4:$A$60,B15),2)</f>
        <v>666.66</v>
      </c>
      <c r="J15" s="11">
        <f>ROUND(SUMIFS('Payment Lines'!$C$4:$C$60,'Payment Lines'!$A$4:$A$60,B15)+I15,2)</f>
        <v>33333</v>
      </c>
      <c r="K15" s="11">
        <f>ROUND(H15,2)</f>
        <v>0</v>
      </c>
      <c r="L15" s="8">
        <f>COUNTIF('Payment Lines'!$A$4:$A$60,B15)</f>
        <v>1</v>
      </c>
      <c r="M15" s="9" t="s">
        <v>237</v>
      </c>
    </row>
    <row r="16" spans="1:13" x14ac:dyDescent="0.25">
      <c r="A16" s="8">
        <v>13</v>
      </c>
      <c r="B16" s="8" t="s">
        <v>238</v>
      </c>
      <c r="C16" s="16">
        <v>46281</v>
      </c>
      <c r="D16" s="9" t="s">
        <v>12</v>
      </c>
      <c r="E16" s="8" t="s">
        <v>205</v>
      </c>
      <c r="F16" s="9" t="s">
        <v>239</v>
      </c>
      <c r="G16" s="17">
        <f>ROUND(SUMIFS('Payment Lines'!$C$4:$C$60,'Payment Lines'!$A$4:$A$60,B16)+H16,2)</f>
        <v>41111.01</v>
      </c>
      <c r="H16" s="18">
        <v>0</v>
      </c>
      <c r="I16" s="11">
        <f>ROUND(SUMIFS('Payment Lines'!$D$4:$D$60,'Payment Lines'!$A$4:$A$60,B16),2)</f>
        <v>4567.89</v>
      </c>
      <c r="J16" s="11">
        <f>ROUND(SUMIFS('Payment Lines'!$C$4:$C$60,'Payment Lines'!$A$4:$A$60,B16)+I16,2)</f>
        <v>45678.9</v>
      </c>
      <c r="K16" s="11">
        <f>ROUND(H16,2)</f>
        <v>0</v>
      </c>
      <c r="L16" s="8">
        <f>COUNTIF('Payment Lines'!$A$4:$A$60,B16)</f>
        <v>1</v>
      </c>
      <c r="M16" s="9" t="s">
        <v>237</v>
      </c>
    </row>
    <row r="17" spans="1:13" x14ac:dyDescent="0.25">
      <c r="A17" s="8">
        <v>14</v>
      </c>
      <c r="B17" s="8" t="s">
        <v>240</v>
      </c>
      <c r="C17" s="16">
        <v>46281</v>
      </c>
      <c r="D17" s="9" t="s">
        <v>34</v>
      </c>
      <c r="E17" s="8" t="s">
        <v>211</v>
      </c>
      <c r="F17" s="9" t="s">
        <v>241</v>
      </c>
      <c r="G17" s="17">
        <f>ROUND(SUMIFS('Payment Lines'!$C$4:$C$60,'Payment Lines'!$A$4:$A$60,B17)+H17,2)</f>
        <v>1209.87</v>
      </c>
      <c r="H17" s="18">
        <v>0</v>
      </c>
      <c r="I17" s="11">
        <f>ROUND(SUMIFS('Payment Lines'!$D$4:$D$60,'Payment Lines'!$A$4:$A$60,B17),2)</f>
        <v>24.69</v>
      </c>
      <c r="J17" s="11">
        <f>ROUND(SUMIFS('Payment Lines'!$C$4:$C$60,'Payment Lines'!$A$4:$A$60,B17)+I17,2)</f>
        <v>1234.56</v>
      </c>
      <c r="K17" s="11">
        <f>ROUND(H17,2)</f>
        <v>0</v>
      </c>
      <c r="L17" s="8">
        <f>COUNTIF('Payment Lines'!$A$4:$A$60,B17)</f>
        <v>1</v>
      </c>
      <c r="M17" s="9" t="s">
        <v>237</v>
      </c>
    </row>
    <row r="18" spans="1:13" x14ac:dyDescent="0.25">
      <c r="A18" s="8">
        <v>15</v>
      </c>
      <c r="B18" s="8" t="s">
        <v>242</v>
      </c>
      <c r="C18" s="16">
        <v>46281</v>
      </c>
      <c r="D18" s="9" t="s">
        <v>16</v>
      </c>
      <c r="E18" s="8" t="s">
        <v>214</v>
      </c>
      <c r="F18" s="9" t="s">
        <v>243</v>
      </c>
      <c r="G18" s="17">
        <f>ROUND(SUMIFS('Payment Lines'!$C$4:$C$60,'Payment Lines'!$A$4:$A$60,B18)+H18,2)</f>
        <v>8619.49</v>
      </c>
      <c r="H18" s="18">
        <v>0</v>
      </c>
      <c r="I18" s="11">
        <f>ROUND(SUMIFS('Payment Lines'!$D$4:$D$60,'Payment Lines'!$A$4:$A$60,B18),2)</f>
        <v>131.26</v>
      </c>
      <c r="J18" s="11">
        <f>ROUND(SUMIFS('Payment Lines'!$C$4:$C$60,'Payment Lines'!$A$4:$A$60,B18)+I18,2)</f>
        <v>8750.75</v>
      </c>
      <c r="K18" s="11">
        <f>ROUND(H18,2)</f>
        <v>0</v>
      </c>
      <c r="L18" s="8">
        <f>COUNTIF('Payment Lines'!$A$4:$A$60,B18)</f>
        <v>1</v>
      </c>
      <c r="M18" s="9" t="s">
        <v>237</v>
      </c>
    </row>
    <row r="19" spans="1:13" x14ac:dyDescent="0.25">
      <c r="A19" s="8">
        <v>16</v>
      </c>
      <c r="B19" s="8" t="s">
        <v>244</v>
      </c>
      <c r="C19" s="16">
        <v>46281</v>
      </c>
      <c r="D19" s="9" t="s">
        <v>24</v>
      </c>
      <c r="E19" s="8" t="s">
        <v>233</v>
      </c>
      <c r="F19" s="9" t="s">
        <v>245</v>
      </c>
      <c r="G19" s="17">
        <f>ROUND(SUMIFS('Payment Lines'!$C$4:$C$60,'Payment Lines'!$A$4:$A$60,B19)+H19,2)</f>
        <v>0.01</v>
      </c>
      <c r="H19" s="18">
        <v>0</v>
      </c>
      <c r="I19" s="11">
        <f>ROUND(SUMIFS('Payment Lines'!$D$4:$D$60,'Payment Lines'!$A$4:$A$60,B19),2)</f>
        <v>0</v>
      </c>
      <c r="J19" s="11">
        <f>ROUND(SUMIFS('Payment Lines'!$C$4:$C$60,'Payment Lines'!$A$4:$A$60,B19)+I19,2)</f>
        <v>0.01</v>
      </c>
      <c r="K19" s="11">
        <f>ROUND(H19,2)</f>
        <v>0</v>
      </c>
      <c r="L19" s="8">
        <f>COUNTIF('Payment Lines'!$A$4:$A$60,B19)</f>
        <v>1</v>
      </c>
      <c r="M19" s="9" t="s">
        <v>246</v>
      </c>
    </row>
    <row r="20" spans="1:13" x14ac:dyDescent="0.25">
      <c r="A20" s="8">
        <v>17</v>
      </c>
      <c r="B20" s="8" t="s">
        <v>247</v>
      </c>
      <c r="C20" s="16">
        <v>46283</v>
      </c>
      <c r="D20" s="9" t="s">
        <v>8</v>
      </c>
      <c r="E20" s="8" t="s">
        <v>205</v>
      </c>
      <c r="F20" s="9" t="s">
        <v>248</v>
      </c>
      <c r="G20" s="17">
        <f>ROUND(SUMIFS('Payment Lines'!$C$4:$C$60,'Payment Lines'!$A$4:$A$60,B20)+H20,2)</f>
        <v>9800</v>
      </c>
      <c r="H20" s="18">
        <v>0</v>
      </c>
      <c r="I20" s="11">
        <f>ROUND(SUMIFS('Payment Lines'!$D$4:$D$60,'Payment Lines'!$A$4:$A$60,B20),2)</f>
        <v>800</v>
      </c>
      <c r="J20" s="11">
        <f>ROUND(SUMIFS('Payment Lines'!$C$4:$C$60,'Payment Lines'!$A$4:$A$60,B20)+I20,2)</f>
        <v>10600</v>
      </c>
      <c r="K20" s="11">
        <f>ROUND(H20,2)</f>
        <v>0</v>
      </c>
      <c r="L20" s="8">
        <f>COUNTIF('Payment Lines'!$A$4:$A$60,B20)</f>
        <v>2</v>
      </c>
      <c r="M20" s="9" t="s">
        <v>249</v>
      </c>
    </row>
    <row r="21" spans="1:13" x14ac:dyDescent="0.25">
      <c r="A21" s="8">
        <v>18</v>
      </c>
      <c r="B21" s="8" t="s">
        <v>250</v>
      </c>
      <c r="C21" s="16">
        <v>46283</v>
      </c>
      <c r="D21" s="9" t="s">
        <v>12</v>
      </c>
      <c r="E21" s="8" t="s">
        <v>205</v>
      </c>
      <c r="F21" s="9" t="s">
        <v>251</v>
      </c>
      <c r="G21" s="17">
        <f>ROUND(SUMIFS('Payment Lines'!$C$4:$C$60,'Payment Lines'!$A$4:$A$60,B21)+H21,2)</f>
        <v>27000</v>
      </c>
      <c r="H21" s="18">
        <v>0</v>
      </c>
      <c r="I21" s="11">
        <f>ROUND(SUMIFS('Payment Lines'!$D$4:$D$60,'Payment Lines'!$A$4:$A$60,B21),2)</f>
        <v>5000</v>
      </c>
      <c r="J21" s="11">
        <f>ROUND(SUMIFS('Payment Lines'!$C$4:$C$60,'Payment Lines'!$A$4:$A$60,B21)+I21,2)</f>
        <v>32000</v>
      </c>
      <c r="K21" s="11">
        <f>ROUND(H21,2)</f>
        <v>0</v>
      </c>
      <c r="L21" s="8">
        <f>COUNTIF('Payment Lines'!$A$4:$A$60,B21)</f>
        <v>2</v>
      </c>
      <c r="M21" s="9" t="s">
        <v>252</v>
      </c>
    </row>
    <row r="22" spans="1:13" x14ac:dyDescent="0.25">
      <c r="A22" s="8">
        <v>19</v>
      </c>
      <c r="B22" s="8" t="s">
        <v>253</v>
      </c>
      <c r="C22" s="16">
        <v>46283</v>
      </c>
      <c r="D22" s="9" t="s">
        <v>20</v>
      </c>
      <c r="E22" s="8" t="s">
        <v>211</v>
      </c>
      <c r="F22" s="9" t="s">
        <v>254</v>
      </c>
      <c r="G22" s="17">
        <f>ROUND(SUMIFS('Payment Lines'!$C$4:$C$60,'Payment Lines'!$A$4:$A$60,B22)+H22,2)</f>
        <v>15000</v>
      </c>
      <c r="H22" s="18">
        <v>0</v>
      </c>
      <c r="I22" s="11">
        <f>ROUND(SUMIFS('Payment Lines'!$D$4:$D$60,'Payment Lines'!$A$4:$A$60,B22),2)</f>
        <v>0</v>
      </c>
      <c r="J22" s="11">
        <f>ROUND(SUMIFS('Payment Lines'!$C$4:$C$60,'Payment Lines'!$A$4:$A$60,B22)+I22,2)</f>
        <v>15000</v>
      </c>
      <c r="K22" s="11">
        <f>ROUND(H22,2)</f>
        <v>0</v>
      </c>
      <c r="L22" s="8">
        <f>COUNTIF('Payment Lines'!$A$4:$A$60,B22)</f>
        <v>1</v>
      </c>
      <c r="M22" s="9" t="s">
        <v>255</v>
      </c>
    </row>
    <row r="23" spans="2:11" x14ac:dyDescent="0.25">
      <c r="B23" s="19" t="s">
        <v>256</v>
      </c>
      <c r="G23" s="19">
        <f>SUM(G4:G22)</f>
        <v>504206.72</v>
      </c>
      <c r="I23" s="19">
        <f>SUM(I4:I22)</f>
        <v>24890.5</v>
      </c>
      <c r="J23" s="19">
        <f>SUM(J4:J22)</f>
        <v>523797.22</v>
      </c>
      <c r="K23" s="19">
        <f>SUM(K4:K22)</f>
        <v>5300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pane ySplit="3" topLeftCell="A4" activePane="bottomLeft" state="frozen"/>
      <selection pane="bottomLeft"/>
    </sheetView>
  </sheetViews>
  <sheetFormatPr defaultRowHeight="15" outlineLevelRow="0" outlineLevelCol="0" x14ac:dyDescent="55"/>
  <cols>
    <col min="1" max="1" width="12" customWidth="1"/>
    <col min="2" max="2" width="18" customWidth="1"/>
    <col min="3" max="4" width="14" customWidth="1"/>
    <col min="5" max="5" width="12" customWidth="1"/>
    <col min="6" max="6" width="52" customWidth="1"/>
  </cols>
  <sheetData>
    <row r="1" spans="1:1" x14ac:dyDescent="0.25">
      <c r="A1" s="15" t="s">
        <v>257</v>
      </c>
    </row>
    <row r="3" ht="34" customHeight="1" spans="1:6" x14ac:dyDescent="0.25">
      <c r="A3" s="7" t="s">
        <v>193</v>
      </c>
      <c r="B3" s="7" t="s">
        <v>0</v>
      </c>
      <c r="C3" s="7" t="s">
        <v>258</v>
      </c>
      <c r="D3" s="7" t="s">
        <v>259</v>
      </c>
      <c r="E3" s="7" t="s">
        <v>260</v>
      </c>
      <c r="F3" s="7" t="s">
        <v>203</v>
      </c>
    </row>
    <row r="4" spans="1:6" x14ac:dyDescent="0.25">
      <c r="A4" s="8" t="s">
        <v>204</v>
      </c>
      <c r="B4" s="9" t="s">
        <v>66</v>
      </c>
      <c r="C4" s="18">
        <v>49000</v>
      </c>
      <c r="D4" s="18">
        <v>1000</v>
      </c>
      <c r="E4" s="8" t="s">
        <v>261</v>
      </c>
      <c r="F4" s="9" t="s">
        <v>136</v>
      </c>
    </row>
    <row r="5" spans="1:6" x14ac:dyDescent="0.25">
      <c r="A5" s="8" t="s">
        <v>208</v>
      </c>
      <c r="B5" s="9" t="s">
        <v>68</v>
      </c>
      <c r="C5" s="18">
        <v>90000</v>
      </c>
      <c r="D5" s="18">
        <v>10000</v>
      </c>
      <c r="E5" s="8" t="s">
        <v>261</v>
      </c>
      <c r="F5" s="9" t="s">
        <v>136</v>
      </c>
    </row>
    <row r="6" spans="1:6" x14ac:dyDescent="0.25">
      <c r="A6" s="8" t="s">
        <v>210</v>
      </c>
      <c r="B6" s="9" t="s">
        <v>70</v>
      </c>
      <c r="C6" s="18">
        <v>39400</v>
      </c>
      <c r="D6" s="18">
        <v>600</v>
      </c>
      <c r="E6" s="8" t="s">
        <v>261</v>
      </c>
      <c r="F6" s="9" t="s">
        <v>136</v>
      </c>
    </row>
    <row r="7" spans="1:6" x14ac:dyDescent="0.25">
      <c r="A7" s="8" t="s">
        <v>213</v>
      </c>
      <c r="B7" s="9" t="s">
        <v>72</v>
      </c>
      <c r="C7" s="18">
        <v>30000</v>
      </c>
      <c r="D7" s="18">
        <v>0</v>
      </c>
      <c r="E7" s="8" t="s">
        <v>261</v>
      </c>
      <c r="F7" s="9" t="s">
        <v>262</v>
      </c>
    </row>
    <row r="8" spans="1:6" x14ac:dyDescent="0.25">
      <c r="A8" s="8" t="s">
        <v>216</v>
      </c>
      <c r="B8" s="9" t="s">
        <v>74</v>
      </c>
      <c r="C8" s="18">
        <v>20000</v>
      </c>
      <c r="D8" s="18">
        <v>0</v>
      </c>
      <c r="E8" s="8" t="s">
        <v>261</v>
      </c>
      <c r="F8" s="9" t="s">
        <v>262</v>
      </c>
    </row>
    <row r="9" spans="1:6" x14ac:dyDescent="0.25">
      <c r="A9" s="8" t="s">
        <v>219</v>
      </c>
      <c r="B9" s="9" t="s">
        <v>76</v>
      </c>
      <c r="C9" s="18">
        <v>20000</v>
      </c>
      <c r="D9" s="18">
        <v>0</v>
      </c>
      <c r="E9" s="8" t="s">
        <v>261</v>
      </c>
      <c r="F9" s="9" t="s">
        <v>263</v>
      </c>
    </row>
    <row r="10" spans="1:6" x14ac:dyDescent="0.25">
      <c r="A10" s="8" t="s">
        <v>221</v>
      </c>
      <c r="B10" s="9" t="s">
        <v>78</v>
      </c>
      <c r="C10" s="18">
        <v>29400</v>
      </c>
      <c r="D10" s="18">
        <v>600</v>
      </c>
      <c r="E10" s="8" t="s">
        <v>261</v>
      </c>
      <c r="F10" s="9" t="s">
        <v>264</v>
      </c>
    </row>
    <row r="11" spans="1:6" x14ac:dyDescent="0.25">
      <c r="A11" s="8" t="s">
        <v>223</v>
      </c>
      <c r="B11" s="9" t="s">
        <v>80</v>
      </c>
      <c r="C11" s="18">
        <v>10000</v>
      </c>
      <c r="D11" s="18">
        <v>0</v>
      </c>
      <c r="E11" s="8" t="s">
        <v>261</v>
      </c>
      <c r="F11" s="9" t="s">
        <v>265</v>
      </c>
    </row>
    <row r="12" spans="1:6" x14ac:dyDescent="0.25">
      <c r="A12" s="8" t="s">
        <v>225</v>
      </c>
      <c r="B12" s="9" t="s">
        <v>82</v>
      </c>
      <c r="C12" s="18">
        <v>19600</v>
      </c>
      <c r="D12" s="18">
        <v>400</v>
      </c>
      <c r="E12" s="8" t="s">
        <v>261</v>
      </c>
      <c r="F12" s="9" t="s">
        <v>266</v>
      </c>
    </row>
    <row r="13" spans="1:6" x14ac:dyDescent="0.25">
      <c r="A13" s="8" t="s">
        <v>225</v>
      </c>
      <c r="B13" s="9" t="s">
        <v>84</v>
      </c>
      <c r="C13" s="18">
        <v>29400</v>
      </c>
      <c r="D13" s="18">
        <v>600</v>
      </c>
      <c r="E13" s="8" t="s">
        <v>261</v>
      </c>
      <c r="F13" s="9" t="s">
        <v>267</v>
      </c>
    </row>
    <row r="14" spans="1:6" x14ac:dyDescent="0.25">
      <c r="A14" s="8" t="s">
        <v>225</v>
      </c>
      <c r="B14" s="9" t="s">
        <v>86</v>
      </c>
      <c r="C14" s="18">
        <v>5000</v>
      </c>
      <c r="D14" s="18">
        <v>200</v>
      </c>
      <c r="E14" s="8" t="s">
        <v>261</v>
      </c>
      <c r="F14" s="9" t="s">
        <v>268</v>
      </c>
    </row>
    <row r="15" spans="1:6" x14ac:dyDescent="0.25">
      <c r="A15" s="8" t="s">
        <v>228</v>
      </c>
      <c r="B15" s="9" t="s">
        <v>88</v>
      </c>
      <c r="C15" s="18">
        <v>14700</v>
      </c>
      <c r="D15" s="18">
        <v>300</v>
      </c>
      <c r="E15" s="8" t="s">
        <v>261</v>
      </c>
      <c r="F15" s="9" t="s">
        <v>269</v>
      </c>
    </row>
    <row r="16" spans="1:6" x14ac:dyDescent="0.25">
      <c r="A16" s="8" t="s">
        <v>232</v>
      </c>
      <c r="B16" s="9" t="s">
        <v>92</v>
      </c>
      <c r="C16" s="18">
        <v>7000</v>
      </c>
      <c r="D16" s="18">
        <v>0</v>
      </c>
      <c r="E16" s="8" t="s">
        <v>261</v>
      </c>
      <c r="F16" s="9" t="s">
        <v>136</v>
      </c>
    </row>
    <row r="17" spans="1:6" x14ac:dyDescent="0.25">
      <c r="A17" s="8" t="s">
        <v>235</v>
      </c>
      <c r="B17" s="9" t="s">
        <v>94</v>
      </c>
      <c r="C17" s="18">
        <v>32666.34</v>
      </c>
      <c r="D17" s="18">
        <v>666.66</v>
      </c>
      <c r="E17" s="8" t="s">
        <v>261</v>
      </c>
      <c r="F17" s="9" t="s">
        <v>136</v>
      </c>
    </row>
    <row r="18" spans="1:6" x14ac:dyDescent="0.25">
      <c r="A18" s="8" t="s">
        <v>238</v>
      </c>
      <c r="B18" s="9" t="s">
        <v>96</v>
      </c>
      <c r="C18" s="18">
        <v>41111.01</v>
      </c>
      <c r="D18" s="18">
        <v>4567.89</v>
      </c>
      <c r="E18" s="8" t="s">
        <v>261</v>
      </c>
      <c r="F18" s="9" t="s">
        <v>136</v>
      </c>
    </row>
    <row r="19" spans="1:6" x14ac:dyDescent="0.25">
      <c r="A19" s="8" t="s">
        <v>240</v>
      </c>
      <c r="B19" s="9" t="s">
        <v>98</v>
      </c>
      <c r="C19" s="18">
        <v>1209.87</v>
      </c>
      <c r="D19" s="18">
        <v>24.69</v>
      </c>
      <c r="E19" s="8" t="s">
        <v>261</v>
      </c>
      <c r="F19" s="9" t="s">
        <v>136</v>
      </c>
    </row>
    <row r="20" spans="1:6" x14ac:dyDescent="0.25">
      <c r="A20" s="8" t="s">
        <v>242</v>
      </c>
      <c r="B20" s="9" t="s">
        <v>100</v>
      </c>
      <c r="C20" s="18">
        <v>8619.49</v>
      </c>
      <c r="D20" s="18">
        <v>131.26</v>
      </c>
      <c r="E20" s="8" t="s">
        <v>261</v>
      </c>
      <c r="F20" s="9" t="s">
        <v>136</v>
      </c>
    </row>
    <row r="21" spans="1:6" x14ac:dyDescent="0.25">
      <c r="A21" s="8" t="s">
        <v>244</v>
      </c>
      <c r="B21" s="9" t="s">
        <v>102</v>
      </c>
      <c r="C21" s="18">
        <v>0.01</v>
      </c>
      <c r="D21" s="18">
        <v>0</v>
      </c>
      <c r="E21" s="8" t="s">
        <v>261</v>
      </c>
      <c r="F21" s="9" t="s">
        <v>136</v>
      </c>
    </row>
    <row r="22" spans="1:6" x14ac:dyDescent="0.25">
      <c r="A22" s="8" t="s">
        <v>247</v>
      </c>
      <c r="B22" s="9" t="s">
        <v>78</v>
      </c>
      <c r="C22" s="18">
        <v>9800</v>
      </c>
      <c r="D22" s="18">
        <v>200</v>
      </c>
      <c r="E22" s="8" t="s">
        <v>261</v>
      </c>
      <c r="F22" s="9" t="s">
        <v>270</v>
      </c>
    </row>
    <row r="23" spans="1:6" x14ac:dyDescent="0.25">
      <c r="A23" s="8" t="s">
        <v>247</v>
      </c>
      <c r="B23" s="9" t="s">
        <v>72</v>
      </c>
      <c r="C23" s="18">
        <v>0</v>
      </c>
      <c r="D23" s="18">
        <v>600</v>
      </c>
      <c r="E23" s="8" t="s">
        <v>271</v>
      </c>
      <c r="F23" s="9" t="s">
        <v>272</v>
      </c>
    </row>
    <row r="24" spans="1:6" x14ac:dyDescent="0.25">
      <c r="A24" s="8" t="s">
        <v>250</v>
      </c>
      <c r="B24" s="9" t="s">
        <v>11</v>
      </c>
      <c r="C24" s="18">
        <v>27000</v>
      </c>
      <c r="D24" s="18">
        <v>3000</v>
      </c>
      <c r="E24" s="8" t="s">
        <v>261</v>
      </c>
      <c r="F24" s="9" t="s">
        <v>273</v>
      </c>
    </row>
    <row r="25" spans="1:6" x14ac:dyDescent="0.25">
      <c r="A25" s="8" t="s">
        <v>250</v>
      </c>
      <c r="B25" s="9" t="s">
        <v>74</v>
      </c>
      <c r="C25" s="18">
        <v>0</v>
      </c>
      <c r="D25" s="18">
        <v>2000</v>
      </c>
      <c r="E25" s="8" t="s">
        <v>271</v>
      </c>
      <c r="F25" s="9" t="s">
        <v>272</v>
      </c>
    </row>
    <row r="26" spans="1:6" x14ac:dyDescent="0.25">
      <c r="A26" s="8" t="s">
        <v>253</v>
      </c>
      <c r="B26" s="9" t="s">
        <v>80</v>
      </c>
      <c r="C26" s="18">
        <v>15000</v>
      </c>
      <c r="D26" s="18">
        <v>0</v>
      </c>
      <c r="E26" s="8" t="s">
        <v>261</v>
      </c>
      <c r="F26" s="9" t="s">
        <v>274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FormatPr defaultRowHeight="15" outlineLevelRow="0" outlineLevelCol="0" x14ac:dyDescent="55"/>
  <cols>
    <col min="1" max="1" width="8" customWidth="1"/>
    <col min="2" max="2" width="34" customWidth="1"/>
    <col min="3" max="3" width="16" customWidth="1"/>
    <col min="4" max="4" width="18" customWidth="1"/>
    <col min="5" max="5" width="10" customWidth="1"/>
    <col min="6" max="6" width="12" customWidth="1"/>
    <col min="7" max="7" width="30" customWidth="1"/>
  </cols>
  <sheetData>
    <row r="1" spans="1:1" x14ac:dyDescent="0.25">
      <c r="A1" s="15" t="s">
        <v>275</v>
      </c>
    </row>
    <row r="3" ht="34" customHeight="1" spans="1:7" x14ac:dyDescent="0.25">
      <c r="A3" s="7" t="s">
        <v>276</v>
      </c>
      <c r="B3" s="7" t="s">
        <v>277</v>
      </c>
      <c r="C3" s="7" t="s">
        <v>278</v>
      </c>
      <c r="D3" s="7" t="s">
        <v>279</v>
      </c>
      <c r="E3" s="7" t="s">
        <v>260</v>
      </c>
      <c r="F3" s="7" t="s">
        <v>119</v>
      </c>
      <c r="G3" s="7" t="s">
        <v>280</v>
      </c>
    </row>
    <row r="4" spans="1:7" x14ac:dyDescent="0.25">
      <c r="A4" s="8" t="s">
        <v>281</v>
      </c>
      <c r="B4" s="9" t="s">
        <v>8</v>
      </c>
      <c r="C4" s="8" t="s">
        <v>109</v>
      </c>
      <c r="D4" s="8" t="s">
        <v>282</v>
      </c>
      <c r="E4" s="9" t="s">
        <v>136</v>
      </c>
      <c r="F4" s="8">
        <v>2</v>
      </c>
      <c r="G4" s="9" t="s">
        <v>283</v>
      </c>
    </row>
    <row r="5" spans="1:7" x14ac:dyDescent="0.25">
      <c r="A5" s="8" t="s">
        <v>284</v>
      </c>
      <c r="B5" s="9" t="s">
        <v>20</v>
      </c>
      <c r="C5" s="8" t="s">
        <v>285</v>
      </c>
      <c r="D5" s="8" t="s">
        <v>286</v>
      </c>
      <c r="E5" s="9" t="s">
        <v>136</v>
      </c>
      <c r="F5" s="8">
        <v>0</v>
      </c>
      <c r="G5" s="9" t="s">
        <v>283</v>
      </c>
    </row>
    <row r="6" spans="1:7" x14ac:dyDescent="0.25">
      <c r="A6" s="8" t="s">
        <v>287</v>
      </c>
      <c r="B6" s="9" t="s">
        <v>12</v>
      </c>
      <c r="C6" s="8" t="s">
        <v>288</v>
      </c>
      <c r="D6" s="8" t="s">
        <v>282</v>
      </c>
      <c r="E6" s="9" t="s">
        <v>136</v>
      </c>
      <c r="F6" s="8">
        <v>10</v>
      </c>
      <c r="G6" s="9" t="s">
        <v>283</v>
      </c>
    </row>
    <row r="7" spans="1:7" x14ac:dyDescent="0.25">
      <c r="A7" s="8" t="s">
        <v>289</v>
      </c>
      <c r="B7" s="9" t="s">
        <v>16</v>
      </c>
      <c r="C7" s="8" t="s">
        <v>290</v>
      </c>
      <c r="D7" s="8" t="s">
        <v>282</v>
      </c>
      <c r="E7" s="9" t="s">
        <v>136</v>
      </c>
      <c r="F7" s="8">
        <v>1.5</v>
      </c>
      <c r="G7" s="9" t="s">
        <v>283</v>
      </c>
    </row>
    <row r="8" spans="1:7" x14ac:dyDescent="0.25">
      <c r="A8" s="8" t="s">
        <v>291</v>
      </c>
      <c r="B8" s="9" t="s">
        <v>34</v>
      </c>
      <c r="C8" s="8" t="s">
        <v>292</v>
      </c>
      <c r="D8" s="8" t="s">
        <v>282</v>
      </c>
      <c r="E8" s="9" t="s">
        <v>136</v>
      </c>
      <c r="F8" s="8">
        <v>2</v>
      </c>
      <c r="G8" s="9" t="s">
        <v>283</v>
      </c>
    </row>
    <row r="9" spans="1:7" x14ac:dyDescent="0.25">
      <c r="A9" s="8" t="s">
        <v>293</v>
      </c>
      <c r="B9" s="9" t="s">
        <v>24</v>
      </c>
      <c r="C9" s="8" t="s">
        <v>294</v>
      </c>
      <c r="D9" s="8" t="s">
        <v>286</v>
      </c>
      <c r="E9" s="9" t="s">
        <v>136</v>
      </c>
      <c r="F9" s="8">
        <v>0</v>
      </c>
      <c r="G9" s="9" t="s">
        <v>283</v>
      </c>
    </row>
    <row r="10" spans="1:7" x14ac:dyDescent="0.25">
      <c r="A10" s="8" t="s">
        <v>295</v>
      </c>
      <c r="B10" s="9" t="s">
        <v>296</v>
      </c>
      <c r="C10" s="8" t="s">
        <v>297</v>
      </c>
      <c r="D10" s="8" t="s">
        <v>286</v>
      </c>
      <c r="E10" s="9" t="s">
        <v>136</v>
      </c>
      <c r="F10" s="8">
        <v>0</v>
      </c>
      <c r="G10" s="9" t="s">
        <v>298</v>
      </c>
    </row>
    <row r="11" spans="1:7" x14ac:dyDescent="0.25">
      <c r="A11" s="8" t="s">
        <v>299</v>
      </c>
      <c r="B11" s="9" t="s">
        <v>296</v>
      </c>
      <c r="C11" s="8" t="s">
        <v>300</v>
      </c>
      <c r="D11" s="8" t="s">
        <v>286</v>
      </c>
      <c r="E11" s="9" t="s">
        <v>136</v>
      </c>
      <c r="F11" s="8">
        <v>0</v>
      </c>
      <c r="G11" s="9" t="s">
        <v>298</v>
      </c>
    </row>
    <row r="12" spans="1:7" x14ac:dyDescent="0.25">
      <c r="A12" s="8" t="s">
        <v>301</v>
      </c>
      <c r="B12" s="9" t="s">
        <v>302</v>
      </c>
      <c r="C12" s="8" t="s">
        <v>303</v>
      </c>
      <c r="D12" s="8" t="s">
        <v>304</v>
      </c>
      <c r="E12" s="9" t="s">
        <v>136</v>
      </c>
      <c r="F12" s="8">
        <v>0</v>
      </c>
      <c r="G12" s="9" t="s">
        <v>298</v>
      </c>
    </row>
    <row r="13" spans="1:7" x14ac:dyDescent="0.25">
      <c r="A13" s="8" t="s">
        <v>305</v>
      </c>
      <c r="B13" s="9" t="s">
        <v>306</v>
      </c>
      <c r="C13" s="8" t="s">
        <v>307</v>
      </c>
      <c r="D13" s="8" t="s">
        <v>308</v>
      </c>
      <c r="E13" s="9" t="s">
        <v>136</v>
      </c>
      <c r="F13" s="8">
        <v>0</v>
      </c>
      <c r="G13" s="9" t="s">
        <v>298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owGridLines="0"/>
  </sheetViews>
  <sheetFormatPr defaultRowHeight="15" outlineLevelRow="0" outlineLevelCol="0" x14ac:dyDescent="55"/>
  <cols>
    <col min="1" max="1" width="26" customWidth="1"/>
    <col min="2" max="2" width="120" customWidth="1"/>
  </cols>
  <sheetData>
    <row r="1" spans="1:2" x14ac:dyDescent="0.25">
      <c r="A1" s="20" t="s">
        <v>309</v>
      </c>
      <c r="B1" s="21" t="s">
        <v>136</v>
      </c>
    </row>
    <row r="2" spans="1:2" x14ac:dyDescent="0.25">
      <c r="A2" s="22" t="s">
        <v>310</v>
      </c>
      <c r="B2" s="21" t="s">
        <v>311</v>
      </c>
    </row>
    <row r="3" spans="1:2" x14ac:dyDescent="0.25">
      <c r="A3" s="22" t="s">
        <v>312</v>
      </c>
      <c r="B3" s="21" t="s">
        <v>313</v>
      </c>
    </row>
    <row r="4" spans="1:2" x14ac:dyDescent="0.25">
      <c r="A4" s="22" t="s">
        <v>314</v>
      </c>
      <c r="B4" s="21" t="s">
        <v>315</v>
      </c>
    </row>
    <row r="5" spans="1:2" x14ac:dyDescent="0.25">
      <c r="A5" s="22" t="s">
        <v>316</v>
      </c>
      <c r="B5" s="21" t="s">
        <v>317</v>
      </c>
    </row>
    <row r="6" spans="1:2" x14ac:dyDescent="0.25">
      <c r="A6" s="22" t="s">
        <v>318</v>
      </c>
      <c r="B6" s="21" t="s">
        <v>319</v>
      </c>
    </row>
    <row r="7" spans="1:2" x14ac:dyDescent="0.25">
      <c r="A7" s="22" t="s">
        <v>320</v>
      </c>
      <c r="B7" s="21" t="s">
        <v>321</v>
      </c>
    </row>
    <row r="8" spans="1:2" x14ac:dyDescent="0.25">
      <c r="A8" s="22" t="s">
        <v>322</v>
      </c>
      <c r="B8" s="21" t="s">
        <v>323</v>
      </c>
    </row>
    <row r="9" spans="1:2" x14ac:dyDescent="0.25">
      <c r="A9" s="22" t="s">
        <v>324</v>
      </c>
      <c r="B9" s="21" t="s">
        <v>325</v>
      </c>
    </row>
    <row r="10" spans="1:2" x14ac:dyDescent="0.25">
      <c r="A10" s="22" t="s">
        <v>326</v>
      </c>
      <c r="B10" s="21" t="s">
        <v>327</v>
      </c>
    </row>
    <row r="11" spans="1:2" x14ac:dyDescent="0.25">
      <c r="A11" s="22" t="s">
        <v>328</v>
      </c>
      <c r="B11" s="21" t="s">
        <v>329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Invoices</vt:lpstr>
      <vt:lpstr>Test Plan</vt:lpstr>
      <vt:lpstr>Payments to Record</vt:lpstr>
      <vt:lpstr>Payment Lines</vt:lpstr>
      <vt:lpstr>Customers</vt:lpstr>
      <vt:lpstr>Read Me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2026-09-20T17:15:11Z</dcterms:created>
  <dcterms:modified xsi:type="dcterms:W3CDTF">2026-09-20T17:15:11Z</dcterms:modified>
</cp:coreProperties>
</file>