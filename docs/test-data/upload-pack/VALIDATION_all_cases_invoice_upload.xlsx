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oices" state="visible" r:id="rId4"/>
    <sheet sheetId="2" name="Expected Results" state="visible" r:id="rId5"/>
    <sheet sheetId="3" name="File Checks" state="visible" r:id="rId6"/>
  </sheets>
  <calcPr calcId="171027"/>
</workbook>
</file>

<file path=xl/sharedStrings.xml><?xml version="1.0" encoding="utf-8"?>
<sst xmlns="http://schemas.openxmlformats.org/spreadsheetml/2006/main" count="718" uniqueCount="324">
  <si>
    <t>Invoice No</t>
  </si>
  <si>
    <t>Customer</t>
  </si>
  <si>
    <t>Site</t>
  </si>
  <si>
    <t>Invoice Date</t>
  </si>
  <si>
    <t>Due Date</t>
  </si>
  <si>
    <t>Amount</t>
  </si>
  <si>
    <t>Remarks</t>
  </si>
  <si>
    <t>VAL-2026-001</t>
  </si>
  <si>
    <t>Bluewave Hotels Pvt Ltd</t>
  </si>
  <si>
    <t>Bluewave - Indiranagar</t>
  </si>
  <si>
    <t>Normal row, everything filled</t>
  </si>
  <si>
    <t>VAL-2026-002</t>
  </si>
  <si>
    <t>Bluewave - Whitefield</t>
  </si>
  <si>
    <t>2026-09-05</t>
  </si>
  <si>
    <t>2026-10-05</t>
  </si>
  <si>
    <t>Dates typed as text yyyy-mm-dd</t>
  </si>
  <si>
    <t>VAL-2026-003</t>
  </si>
  <si>
    <t>Silverline Logistics Pvt Ltd</t>
  </si>
  <si>
    <t>Silverline - Hub 1</t>
  </si>
  <si>
    <t>05/09/2026</t>
  </si>
  <si>
    <t>05/10/2026</t>
  </si>
  <si>
    <t>Dates typed as text dd/mm/yyyy</t>
  </si>
  <si>
    <t>VAL-2026-004</t>
  </si>
  <si>
    <t>Silverline - Hub 2</t>
  </si>
  <si>
    <t>05-09-2026</t>
  </si>
  <si>
    <t>05-10-2026</t>
  </si>
  <si>
    <t>Dates typed as text dd-mm-yyyy</t>
  </si>
  <si>
    <t>VAL-2026-005</t>
  </si>
  <si>
    <t>Maple Leaf International School</t>
  </si>
  <si>
    <t>Maple Leaf - Junior Wing</t>
  </si>
  <si>
    <t>5/9/2026</t>
  </si>
  <si>
    <t>5/10/2026</t>
  </si>
  <si>
    <t>Dates typed as d/m/yyyy without leading zeros</t>
  </si>
  <si>
    <t>VAL-2026-006</t>
  </si>
  <si>
    <t>Maple Leaf - Senior Wing</t>
  </si>
  <si>
    <t>₹ 1,20,000</t>
  </si>
  <si>
    <t>Amount with rupee sign and Indian commas</t>
  </si>
  <si>
    <t>VAL-2026-007</t>
  </si>
  <si>
    <t>Harbor View Resorts</t>
  </si>
  <si>
    <t>Harbor - Beach Block</t>
  </si>
  <si>
    <t>Rs. 5,000.50</t>
  </si>
  <si>
    <t>Amount written as Rs. 5,000.50</t>
  </si>
  <si>
    <t>VAL-2026-008</t>
  </si>
  <si>
    <t>Northstar Clinics</t>
  </si>
  <si>
    <t>Northstar - Clinic 1</t>
  </si>
  <si>
    <t>12,50,000</t>
  </si>
  <si>
    <t>Amount with commas only</t>
  </si>
  <si>
    <t>VAL-2026-009</t>
  </si>
  <si>
    <t>Northstar - Clinic 2</t>
  </si>
  <si>
    <t xml:space="preserve">  4500  </t>
  </si>
  <si>
    <t>Amount with spaces around it</t>
  </si>
  <si>
    <t>VAL-2026-010</t>
  </si>
  <si>
    <t>Orchid Bakers &amp; Confectioners</t>
  </si>
  <si>
    <t>Orchid - Central Bakery</t>
  </si>
  <si>
    <t>Smallest amount</t>
  </si>
  <si>
    <t>VAL-2026-011</t>
  </si>
  <si>
    <t>Orchid - Mall Outlet</t>
  </si>
  <si>
    <t>Largest allowed amount</t>
  </si>
  <si>
    <t>VAL-2026-012</t>
  </si>
  <si>
    <t>Ambar Textiles</t>
  </si>
  <si>
    <t>Ambar - Godown A</t>
  </si>
  <si>
    <t>Amount of one rupee</t>
  </si>
  <si>
    <t>VAL-2026-013</t>
  </si>
  <si>
    <t>24x7 Fitness Studios</t>
  </si>
  <si>
    <t>24x7 - Koramangala Studio</t>
  </si>
  <si>
    <t>100 000</t>
  </si>
  <si>
    <t>Amount with a space inside</t>
  </si>
  <si>
    <t>VAL-2026-014</t>
  </si>
  <si>
    <t>Due date equals invoice date</t>
  </si>
  <si>
    <t>VAL-2026-015-XXXXXXXXXXXXXXXXXXXXXXXXXXXXXXXXXXXXXXXXXXXXXXXXXXXXXXXXXXXXXXXXXXXXXXXXXXXXXXXXXXXXXXX</t>
  </si>
  <si>
    <t>Bluewave - Koramangala</t>
  </si>
  <si>
    <t>Invoice number of exactly 100 characters</t>
  </si>
  <si>
    <t>VAL/2026/#16 (A&amp;B)-ü</t>
  </si>
  <si>
    <t>Invoice number with special characters</t>
  </si>
  <si>
    <t>VAL-2026-017</t>
  </si>
  <si>
    <t>SLL12</t>
  </si>
  <si>
    <t>Customer typed as its CODE</t>
  </si>
  <si>
    <t>VAL-2026-018</t>
  </si>
  <si>
    <t xml:space="preserve">  SILVERLINE LOGISTICS PVT LTD </t>
  </si>
  <si>
    <t xml:space="preserve">  silverline - hub 2  </t>
  </si>
  <si>
    <t>Customer in capitals, site in lower case, extra spaces</t>
  </si>
  <si>
    <t>VAL-2026-019</t>
  </si>
  <si>
    <t>ಶ್ರೀ ಲಕ್ಷ್ಮಿ ಸ್ಟೋರ್ಸ್</t>
  </si>
  <si>
    <t>ಶ್ರೀ ಲಕ್ಷ್ಮಿ - ಮುಖ್ಯ ಅಂಗಡಿ</t>
  </si>
  <si>
    <t>Kannada customer and site names</t>
  </si>
  <si>
    <t>VAL-2026-020</t>
  </si>
  <si>
    <t>D'Souza &amp; Daughters Jewellers</t>
  </si>
  <si>
    <t>D'Souza - Commercial Street</t>
  </si>
  <si>
    <t>Apostrophe in customer and site names</t>
  </si>
  <si>
    <t>VAL-2026-021</t>
  </si>
  <si>
    <t>Extra Long Name Extra Long Name Extra Long Name Extra Long Name Extra Long Name Extra Long Name Extra Long Name Extra Long Name Extra Long Name Extra Long Name Extra Long Name Extra Long Name Ltd</t>
  </si>
  <si>
    <t>Extra Long Name - Plant</t>
  </si>
  <si>
    <t>Customer name of about 195 characters</t>
  </si>
  <si>
    <t>VAL-2026-022</t>
  </si>
  <si>
    <t>Quick Fix Plumbing</t>
  </si>
  <si>
    <t>Quick Fix - Shop 5, Ground Floor</t>
  </si>
  <si>
    <t>Comma inside the site name</t>
  </si>
  <si>
    <t>VAL-2026-023</t>
  </si>
  <si>
    <t>TWN07A</t>
  </si>
  <si>
    <t>Twin Traders - Shop 1</t>
  </si>
  <si>
    <t>Two customers share a name: chosen by CODE</t>
  </si>
  <si>
    <t>VAL-2026-024</t>
  </si>
  <si>
    <t>twn07b</t>
  </si>
  <si>
    <t>Twin Traders - Shop 2</t>
  </si>
  <si>
    <t>Code typed in lower case</t>
  </si>
  <si>
    <t>VAL-2026-025</t>
  </si>
  <si>
    <t>Green Meadow School</t>
  </si>
  <si>
    <t>Green Meadow - Main Campus</t>
  </si>
  <si>
    <t>Remarks of exactly 1000 characters.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</si>
  <si>
    <t>VAL-2026-026</t>
  </si>
  <si>
    <t>ಮಾಸಿಕ ಸೇವೆ / मासिक सेवा / Café ☕ 🙂</t>
  </si>
  <si>
    <t>VAL-2026-027</t>
  </si>
  <si>
    <t>TDS 2% customer with decimals</t>
  </si>
  <si>
    <t>Same invoice number as row 2 but a DIFFERENT customer</t>
  </si>
  <si>
    <t>VAL-2026-029</t>
  </si>
  <si>
    <t>29/02/2028</t>
  </si>
  <si>
    <t>29/03/2028</t>
  </si>
  <si>
    <t>Leap day invoice date</t>
  </si>
  <si>
    <t>VAL-2026-030</t>
  </si>
  <si>
    <t>2000-01-01</t>
  </si>
  <si>
    <t>2000-01-31</t>
  </si>
  <si>
    <t>Old invoice from the year 2000</t>
  </si>
  <si>
    <t>VAL-2026-031</t>
  </si>
  <si>
    <t>Filled remark for testing</t>
  </si>
  <si>
    <t xml:space="preserve">   </t>
  </si>
  <si>
    <t>ERR-2026-003</t>
  </si>
  <si>
    <t>ERR-2026-004</t>
  </si>
  <si>
    <t>ERR-2026-005</t>
  </si>
  <si>
    <t>ERR-2026-006</t>
  </si>
  <si>
    <t>ERR-2026-007-XXXXXXXXXXXXXXXXXXXXXXXXXXXXXXXXXXXXXXXXXXXXXXXXXXXXXXXXXXXXXXXXXXXXXXXXXXXXXXXXXXXXXXXX</t>
  </si>
  <si>
    <t>ERR-2026-008</t>
  </si>
  <si>
    <t>Moonlight Bakers Pvt Ltd</t>
  </si>
  <si>
    <t>Moonlight - Main Shop</t>
  </si>
  <si>
    <t>ERR-2026-009</t>
  </si>
  <si>
    <t>Dormant Stores Ltd</t>
  </si>
  <si>
    <t>Dormant - Store</t>
  </si>
  <si>
    <t>ERR-2026-010</t>
  </si>
  <si>
    <t>Twin Traders</t>
  </si>
  <si>
    <t>ERR-2026-011</t>
  </si>
  <si>
    <t>Bluewave - Nowhere</t>
  </si>
  <si>
    <t>ERR-2026-012</t>
  </si>
  <si>
    <t>ERR-2026-013</t>
  </si>
  <si>
    <t>Ambar - Godown B (closed)</t>
  </si>
  <si>
    <t>ERR-2026-014</t>
  </si>
  <si>
    <t>Southern Foods Co</t>
  </si>
  <si>
    <t>Southern - Depot</t>
  </si>
  <si>
    <t>ERR-2026-015</t>
  </si>
  <si>
    <t>Brightside Coaching Institute</t>
  </si>
  <si>
    <t>Brightside - Annex (other branch)</t>
  </si>
  <si>
    <t>ERR-2026-016</t>
  </si>
  <si>
    <t>31/02/2026</t>
  </si>
  <si>
    <t>ERR-2026-017</t>
  </si>
  <si>
    <t>2026/09/01</t>
  </si>
  <si>
    <t>ERR-2026-018</t>
  </si>
  <si>
    <t>31-31-2026</t>
  </si>
  <si>
    <t>ERR-2026-019</t>
  </si>
  <si>
    <t>00/00/0000</t>
  </si>
  <si>
    <t>ERR-2026-020</t>
  </si>
  <si>
    <t>2026-13-01</t>
  </si>
  <si>
    <t>ERR-2026-021</t>
  </si>
  <si>
    <t>today</t>
  </si>
  <si>
    <t>ERR-2026-022</t>
  </si>
  <si>
    <t>01.09.2026</t>
  </si>
  <si>
    <t>ERR-2026-023</t>
  </si>
  <si>
    <t>1/9/26</t>
  </si>
  <si>
    <t>ERR-2026-024</t>
  </si>
  <si>
    <t>ERR-2026-025</t>
  </si>
  <si>
    <t>tomorrow</t>
  </si>
  <si>
    <t>ERR-2026-026</t>
  </si>
  <si>
    <t>ERR-2026-027</t>
  </si>
  <si>
    <t>ERR-2026-028</t>
  </si>
  <si>
    <t>ERR-2026-029</t>
  </si>
  <si>
    <t>abc</t>
  </si>
  <si>
    <t>ERR-2026-030</t>
  </si>
  <si>
    <t>1e5</t>
  </si>
  <si>
    <t>ERR-2026-031</t>
  </si>
  <si>
    <t>ERR-2026-032</t>
  </si>
  <si>
    <t>$500</t>
  </si>
  <si>
    <t>ERR-2026-033</t>
  </si>
  <si>
    <t>1.234.567,89</t>
  </si>
  <si>
    <t>val-2026-002</t>
  </si>
  <si>
    <t>ALL-2026-001</t>
  </si>
  <si>
    <t>ERR-2026-037</t>
  </si>
  <si>
    <t>ERR-2026-039</t>
  </si>
  <si>
    <t>Expected result of every row on the Review screen (Excel row numbers). The importer reads only the first sheet, so this sheet is just for you.</t>
  </si>
  <si>
    <t>Excel row</t>
  </si>
  <si>
    <t>Customer (as typed)</t>
  </si>
  <si>
    <t>Site (as typed)</t>
  </si>
  <si>
    <t>Amount (as typed)</t>
  </si>
  <si>
    <t>Expected result</t>
  </si>
  <si>
    <t>What it tests</t>
  </si>
  <si>
    <t>VALID</t>
  </si>
  <si>
    <t>Normal row</t>
  </si>
  <si>
    <t>Date format yyyy-mm-dd (text)</t>
  </si>
  <si>
    <t>Date format dd/mm/yyyy (text)</t>
  </si>
  <si>
    <t>Date format dd-mm-yyyy (text)</t>
  </si>
  <si>
    <t>Date format d/m/yyyy (text)</t>
  </si>
  <si>
    <t>Amount with rupee sign</t>
  </si>
  <si>
    <t>Amount with Rs. prefix</t>
  </si>
  <si>
    <t>Amount with commas</t>
  </si>
  <si>
    <t>Amount with spaces</t>
  </si>
  <si>
    <t>Amount 0.01 (minimum)</t>
  </si>
  <si>
    <t>Amount 9999999999999.99 (maximum)</t>
  </si>
  <si>
    <t>Amount 1</t>
  </si>
  <si>
    <t>Amount with an inner space</t>
  </si>
  <si>
    <t>Due date = invoice date</t>
  </si>
  <si>
    <t>VAL-2026-015-XXXXXXXXXXXXXXXXXXXXXXXXXXX</t>
  </si>
  <si>
    <t>Invoice number 100 characters</t>
  </si>
  <si>
    <t>Special characters in invoice number</t>
  </si>
  <si>
    <t>Customer by code</t>
  </si>
  <si>
    <t>Case and spaces ignored</t>
  </si>
  <si>
    <t>Unicode customer and site</t>
  </si>
  <si>
    <t>Apostrophe in names</t>
  </si>
  <si>
    <t>Extra Long Name Extra Long Name Extra Long Name Extra Long N</t>
  </si>
  <si>
    <t>Very long customer name</t>
  </si>
  <si>
    <t>Comma in site name</t>
  </si>
  <si>
    <t>Duplicate name resolved by code</t>
  </si>
  <si>
    <t>Code in lower case</t>
  </si>
  <si>
    <t>Remarks 1000 characters</t>
  </si>
  <si>
    <t>Unicode and emoji in remarks</t>
  </si>
  <si>
    <t>Decimal amount, TDS 2%</t>
  </si>
  <si>
    <t>Same number, different customer is allowed</t>
  </si>
  <si>
    <t>Leap day</t>
  </si>
  <si>
    <t>Very old date</t>
  </si>
  <si>
    <t>Due date and remarks left empty (both optional)</t>
  </si>
  <si>
    <t>(empty)</t>
  </si>
  <si>
    <t>ERROR: Invoice number is required</t>
  </si>
  <si>
    <t>Invoice number empty</t>
  </si>
  <si>
    <t>Invoice number only spaces</t>
  </si>
  <si>
    <t>ERROR: Customer is required</t>
  </si>
  <si>
    <t>Customer empty</t>
  </si>
  <si>
    <t>ERROR: Site is required</t>
  </si>
  <si>
    <t>Site empty</t>
  </si>
  <si>
    <t>ERROR: Invoice date is required</t>
  </si>
  <si>
    <t>Invoice date empty</t>
  </si>
  <si>
    <t>ERROR: Invoice amount is required</t>
  </si>
  <si>
    <t>Amount empty</t>
  </si>
  <si>
    <t>ERR-2026-007-XXXXXXXXXXXXXXXXXXXXXXXXXXX</t>
  </si>
  <si>
    <t>ERROR: Invoice number is too long (maximum 100 characters)</t>
  </si>
  <si>
    <t>Invoice number 101 characters</t>
  </si>
  <si>
    <t>ERROR: Customer not found in the system</t>
  </si>
  <si>
    <t>Customer does not exist</t>
  </si>
  <si>
    <t>ERROR: Customer is inactive</t>
  </si>
  <si>
    <t>Inactive customer</t>
  </si>
  <si>
    <t>ERROR: More than one customer has this name. Please use the customer code</t>
  </si>
  <si>
    <t>Two customers with the same name</t>
  </si>
  <si>
    <t>ERROR: Site not found for this customer</t>
  </si>
  <si>
    <t>Site does not exist</t>
  </si>
  <si>
    <t>Site belongs to another customer</t>
  </si>
  <si>
    <t>ERROR: Site is inactive</t>
  </si>
  <si>
    <t>Inactive site</t>
  </si>
  <si>
    <t>ERROR: This site belongs to another branch, so you cannot create invoices for it</t>
  </si>
  <si>
    <t>Other-branch site (accountant of Head Office)</t>
  </si>
  <si>
    <t>Other-branch site (second example)</t>
  </si>
  <si>
    <t>ERROR: Invoice date is not valid (use DD/MM/YYYY or YYYY-MM-DD)</t>
  </si>
  <si>
    <t>Date 31/02/2026 does not exist</t>
  </si>
  <si>
    <t>Date with slashes yyyy/mm/dd</t>
  </si>
  <si>
    <t>Month 31</t>
  </si>
  <si>
    <t>All zeros date</t>
  </si>
  <si>
    <t>Month 13</t>
  </si>
  <si>
    <t>Word instead of a date</t>
  </si>
  <si>
    <t>Dots as separators</t>
  </si>
  <si>
    <t>Two-digit year</t>
  </si>
  <si>
    <t>A plain number typed instead of a date</t>
  </si>
  <si>
    <t>ERROR: Due date is not valid (use DD/MM/YYYY or YYYY-MM-DD)</t>
  </si>
  <si>
    <t>Due date is text</t>
  </si>
  <si>
    <t>ERROR: Due date cannot be before the invoice date</t>
  </si>
  <si>
    <t>Due date before invoice date</t>
  </si>
  <si>
    <t>ERROR: Invoice amount must be greater than 0</t>
  </si>
  <si>
    <t>Amount 0</t>
  </si>
  <si>
    <t>Negative amount</t>
  </si>
  <si>
    <t>ERROR: Invoice amount is not a valid number</t>
  </si>
  <si>
    <t>Amount is text</t>
  </si>
  <si>
    <t>Amount in scientific notation</t>
  </si>
  <si>
    <t>ERROR: Invoice amount is too large</t>
  </si>
  <si>
    <t>Amount above the maximum</t>
  </si>
  <si>
    <t>Dollar sign is not accepted</t>
  </si>
  <si>
    <t>European number format</t>
  </si>
  <si>
    <t>ERROR: Duplicate invoice number: also used on row 2 of this file</t>
  </si>
  <si>
    <t>Same number and customer twice in the file</t>
  </si>
  <si>
    <t>ERROR: Duplicate invoice number: also used on row 3 of this file</t>
  </si>
  <si>
    <t>Same number in lower case counts as a duplicate</t>
  </si>
  <si>
    <t>ERROR: Duplicate invoice number: this customer already has this invoice</t>
  </si>
  <si>
    <t>Invoice already saved in the system (submit ALL_CASES first)</t>
  </si>
  <si>
    <t>ERROR: 3 reasons: Invoice amount must be greater than 0 / Invoice date is not valid (use DD/MM/YYYY or YYYY-MM-DD) / Customer not found in the system</t>
  </si>
  <si>
    <t>Several errors in one row</t>
  </si>
  <si>
    <t>ERROR: Duplicate invoice number: also used on row 4 of this file</t>
  </si>
  <si>
    <t>Duplicate found through the customer CODE</t>
  </si>
  <si>
    <t>ERROR: 2 reasons: Site is required / Invoice amount is not a valid number</t>
  </si>
  <si>
    <t>Two errors in one row</t>
  </si>
  <si>
    <t>Rows counted</t>
  </si>
  <si>
    <t>Expected VALID</t>
  </si>
  <si>
    <t>Expected ERROR</t>
  </si>
  <si>
    <t>Row 2 (blank row) is skipped by the importer. One row (VAL-2026-031) has an empty Due Date and Remarks on purpose: both are optional.</t>
  </si>
  <si>
    <t>Files in the 'file_level_checks' folder: what the app should say</t>
  </si>
  <si>
    <t>File</t>
  </si>
  <si>
    <t>Expected</t>
  </si>
  <si>
    <t>01_missing_columns.xlsx</t>
  </si>
  <si>
    <t>No Site and no Amount column</t>
  </si>
  <si>
    <t>The file is missing these columns: Site, Amount. Please use the template.</t>
  </si>
  <si>
    <t>02_headers_only.xlsx</t>
  </si>
  <si>
    <t>Only the header row</t>
  </si>
  <si>
    <t>The file has no invoice rows.</t>
  </si>
  <si>
    <t>03_corrupt_file.xlsx</t>
  </si>
  <si>
    <t>Plain text renamed to .xlsx</t>
  </si>
  <si>
    <t>The file could not be read. Please upload a valid .xlsx or .csv file.</t>
  </si>
  <si>
    <t>04_wrong_type.pdf</t>
  </si>
  <si>
    <t>A PDF file</t>
  </si>
  <si>
    <t>Rejected: only .xlsx or .csv are accepted (Please upload an .xlsx or .csv file).</t>
  </si>
  <si>
    <t>05_wrong_type.png</t>
  </si>
  <si>
    <t>An image file</t>
  </si>
  <si>
    <t>Rejected: only .xlsx or .csv are accepted.</t>
  </si>
  <si>
    <t>06_over_5MB.xlsx</t>
  </si>
  <si>
    <t>File over the 5 MB limit</t>
  </si>
  <si>
    <t>The file is too large (maximum 5 MB)</t>
  </si>
  <si>
    <t>07_5000_rows.xlsx</t>
  </si>
  <si>
    <t>Exactly 5000 rows</t>
  </si>
  <si>
    <t>Accepted: 5000 total, 5000 valid, 0 errors (also a speed test; do not Submit unless you want 5000 invoices).</t>
  </si>
  <si>
    <t>08_5001_rows.xlsx</t>
  </si>
  <si>
    <t>One row over the limit</t>
  </si>
  <si>
    <t>The file has more than 5000 rows. Please split it into smaller files.</t>
  </si>
  <si>
    <t>09_alternate_headers.xlsx</t>
  </si>
  <si>
    <t>Other header spellings, shuffled columns, extra column</t>
  </si>
  <si>
    <t>Accepted: 8 total, 8 valid, 0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</si>
</sst>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7" x14ac:knownFonts="1">
    <font>
      <color theme="1"/>
      <family val="2"/>
      <scheme val="minor"/>
      <sz val="11"/>
      <name val="Calibri"/>
    </font>
    <font>
      <b/>
    </font>
    <font>
      <b/>
      <sz val="11"/>
      <name val="Arial"/>
    </font>
    <font>
      <b/>
      <color rgb="FFFFFFFF"/>
      <sz val="10"/>
      <name val="Arial"/>
    </font>
    <font>
      <sz val="10"/>
      <name val="Arial"/>
    </font>
    <font>
      <b/>
      <sz val="10"/>
      <name val="Arial"/>
    </font>
    <font>
      <i/>
      <sz val="9"/>
      <name val="Arial"/>
    </font>
  </fonts>
  <fills count="4">
    <fill>
      <patternFill patternType="none"/>
    </fill>
    <fill>
      <patternFill patternType="gray125"/>
    </fill>
    <fill>
      <patternFill patternType="solid">
        <fgColor rgb="FF1F3864"/>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0" borderId="0" xfId="0" applyFont="1"/>
    <xf numFmtId="164" fontId="0" fillId="0" borderId="0" xfId="0" applyNumberFormat="1"/>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5" fillId="0" borderId="0" xfId="0" applyFont="1"/>
    <xf numFmtId="0" fontId="5" fillId="0" borderId="0" xfId="0" applyFont="1" applyAlignment="1">
      <alignment horizontal="left"/>
    </xf>
    <xf numFmtId="0" fontId="6" fillId="0" borderId="0" xfId="0" applyFont="1"/>
    <xf numFmtId="0" fontId="3"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FormatPr defaultRowHeight="15" outlineLevelRow="0" outlineLevelCol="0" x14ac:dyDescent="55"/>
  <cols>
    <col min="1" max="6" width="24" customWidth="1"/>
    <col min="7" max="7" width="50"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s="2">
        <v>46266</v>
      </c>
      <c r="E2" s="2">
        <v>46296</v>
      </c>
      <c r="F2">
        <v>25000</v>
      </c>
      <c r="G2" t="s">
        <v>10</v>
      </c>
    </row>
    <row r="3" spans="1:7" x14ac:dyDescent="0.25">
      <c r="A3" t="s">
        <v>11</v>
      </c>
      <c r="B3" t="s">
        <v>8</v>
      </c>
      <c r="C3" t="s">
        <v>12</v>
      </c>
      <c r="D3" s="2" t="s">
        <v>13</v>
      </c>
      <c r="E3" s="2" t="s">
        <v>14</v>
      </c>
      <c r="F3">
        <v>30000</v>
      </c>
      <c r="G3" t="s">
        <v>15</v>
      </c>
    </row>
    <row r="4" spans="1:7" x14ac:dyDescent="0.25">
      <c r="A4" t="s">
        <v>16</v>
      </c>
      <c r="B4" t="s">
        <v>17</v>
      </c>
      <c r="C4" t="s">
        <v>18</v>
      </c>
      <c r="D4" s="2" t="s">
        <v>19</v>
      </c>
      <c r="E4" s="2" t="s">
        <v>20</v>
      </c>
      <c r="F4">
        <v>15000</v>
      </c>
      <c r="G4" t="s">
        <v>21</v>
      </c>
    </row>
    <row r="5" spans="1:7" x14ac:dyDescent="0.25">
      <c r="A5" t="s">
        <v>22</v>
      </c>
      <c r="B5" t="s">
        <v>17</v>
      </c>
      <c r="C5" t="s">
        <v>23</v>
      </c>
      <c r="D5" s="2" t="s">
        <v>24</v>
      </c>
      <c r="E5" s="2" t="s">
        <v>25</v>
      </c>
      <c r="F5">
        <v>18000</v>
      </c>
      <c r="G5" t="s">
        <v>26</v>
      </c>
    </row>
    <row r="6" spans="1:7" x14ac:dyDescent="0.25">
      <c r="A6" t="s">
        <v>27</v>
      </c>
      <c r="B6" t="s">
        <v>28</v>
      </c>
      <c r="C6" t="s">
        <v>29</v>
      </c>
      <c r="D6" s="2" t="s">
        <v>30</v>
      </c>
      <c r="E6" s="2" t="s">
        <v>31</v>
      </c>
      <c r="F6">
        <v>42000</v>
      </c>
      <c r="G6" t="s">
        <v>32</v>
      </c>
    </row>
    <row r="7" spans="1:7" x14ac:dyDescent="0.25">
      <c r="A7" t="s">
        <v>33</v>
      </c>
      <c r="B7" t="s">
        <v>28</v>
      </c>
      <c r="C7" t="s">
        <v>34</v>
      </c>
      <c r="D7" s="2">
        <v>46266</v>
      </c>
      <c r="E7" s="2">
        <v>46296</v>
      </c>
      <c r="F7" t="s">
        <v>35</v>
      </c>
      <c r="G7" t="s">
        <v>36</v>
      </c>
    </row>
    <row r="8" spans="1:7" x14ac:dyDescent="0.25">
      <c r="A8" t="s">
        <v>37</v>
      </c>
      <c r="B8" t="s">
        <v>38</v>
      </c>
      <c r="C8" t="s">
        <v>39</v>
      </c>
      <c r="D8" s="2">
        <v>46266</v>
      </c>
      <c r="E8" s="2">
        <v>46296</v>
      </c>
      <c r="F8" t="s">
        <v>40</v>
      </c>
      <c r="G8" t="s">
        <v>41</v>
      </c>
    </row>
    <row r="9" spans="1:7" x14ac:dyDescent="0.25">
      <c r="A9" t="s">
        <v>42</v>
      </c>
      <c r="B9" t="s">
        <v>43</v>
      </c>
      <c r="C9" t="s">
        <v>44</v>
      </c>
      <c r="D9" s="2">
        <v>46266</v>
      </c>
      <c r="E9" s="2">
        <v>46296</v>
      </c>
      <c r="F9" t="s">
        <v>45</v>
      </c>
      <c r="G9" t="s">
        <v>46</v>
      </c>
    </row>
    <row r="10" spans="1:7" x14ac:dyDescent="0.25">
      <c r="A10" t="s">
        <v>47</v>
      </c>
      <c r="B10" t="s">
        <v>43</v>
      </c>
      <c r="C10" t="s">
        <v>48</v>
      </c>
      <c r="D10" s="2">
        <v>46266</v>
      </c>
      <c r="E10" s="2">
        <v>46296</v>
      </c>
      <c r="F10" t="s">
        <v>49</v>
      </c>
      <c r="G10" t="s">
        <v>50</v>
      </c>
    </row>
    <row r="11" spans="1:7" x14ac:dyDescent="0.25">
      <c r="A11" t="s">
        <v>51</v>
      </c>
      <c r="B11" t="s">
        <v>52</v>
      </c>
      <c r="C11" t="s">
        <v>53</v>
      </c>
      <c r="D11" s="2">
        <v>46266</v>
      </c>
      <c r="E11" s="2">
        <v>46296</v>
      </c>
      <c r="F11">
        <v>0.01</v>
      </c>
      <c r="G11" t="s">
        <v>54</v>
      </c>
    </row>
    <row r="12" spans="1:7" x14ac:dyDescent="0.25">
      <c r="A12" t="s">
        <v>55</v>
      </c>
      <c r="B12" t="s">
        <v>52</v>
      </c>
      <c r="C12" t="s">
        <v>56</v>
      </c>
      <c r="D12" s="2">
        <v>46266</v>
      </c>
      <c r="E12" s="2">
        <v>46296</v>
      </c>
      <c r="F12">
        <v>9999999999999.99</v>
      </c>
      <c r="G12" t="s">
        <v>57</v>
      </c>
    </row>
    <row r="13" spans="1:7" x14ac:dyDescent="0.25">
      <c r="A13" t="s">
        <v>58</v>
      </c>
      <c r="B13" t="s">
        <v>59</v>
      </c>
      <c r="C13" t="s">
        <v>60</v>
      </c>
      <c r="D13" s="2">
        <v>46266</v>
      </c>
      <c r="E13" s="2">
        <v>46296</v>
      </c>
      <c r="F13">
        <v>1</v>
      </c>
      <c r="G13" t="s">
        <v>61</v>
      </c>
    </row>
    <row r="14" spans="1:7" x14ac:dyDescent="0.25">
      <c r="A14" t="s">
        <v>62</v>
      </c>
      <c r="B14" t="s">
        <v>63</v>
      </c>
      <c r="C14" t="s">
        <v>64</v>
      </c>
      <c r="D14" s="2">
        <v>46266</v>
      </c>
      <c r="E14" s="2">
        <v>46296</v>
      </c>
      <c r="F14" t="s">
        <v>65</v>
      </c>
      <c r="G14" t="s">
        <v>66</v>
      </c>
    </row>
    <row r="15" spans="1:7" x14ac:dyDescent="0.25">
      <c r="A15" t="s">
        <v>67</v>
      </c>
      <c r="B15" t="s">
        <v>63</v>
      </c>
      <c r="C15" t="s">
        <v>64</v>
      </c>
      <c r="D15" s="2">
        <v>46266</v>
      </c>
      <c r="E15" s="2">
        <v>46266</v>
      </c>
      <c r="F15">
        <v>7700</v>
      </c>
      <c r="G15" t="s">
        <v>68</v>
      </c>
    </row>
    <row r="16" spans="1:7" x14ac:dyDescent="0.25">
      <c r="A16" t="s">
        <v>69</v>
      </c>
      <c r="B16" t="s">
        <v>8</v>
      </c>
      <c r="C16" t="s">
        <v>70</v>
      </c>
      <c r="D16" s="2">
        <v>46266</v>
      </c>
      <c r="E16" s="2">
        <v>46296</v>
      </c>
      <c r="F16">
        <v>9100</v>
      </c>
      <c r="G16" t="s">
        <v>71</v>
      </c>
    </row>
    <row r="17" spans="1:7" x14ac:dyDescent="0.25">
      <c r="A17" t="s">
        <v>72</v>
      </c>
      <c r="B17" t="s">
        <v>8</v>
      </c>
      <c r="C17" t="s">
        <v>70</v>
      </c>
      <c r="D17" s="2">
        <v>46266</v>
      </c>
      <c r="E17" s="2">
        <v>46296</v>
      </c>
      <c r="F17">
        <v>9200</v>
      </c>
      <c r="G17" t="s">
        <v>73</v>
      </c>
    </row>
    <row r="18" spans="1:7" x14ac:dyDescent="0.25">
      <c r="A18" t="s">
        <v>74</v>
      </c>
      <c r="B18" t="s">
        <v>75</v>
      </c>
      <c r="C18" t="s">
        <v>18</v>
      </c>
      <c r="D18" s="2">
        <v>46266</v>
      </c>
      <c r="E18" s="2">
        <v>46296</v>
      </c>
      <c r="F18">
        <v>9300</v>
      </c>
      <c r="G18" t="s">
        <v>76</v>
      </c>
    </row>
    <row r="19" spans="1:7" x14ac:dyDescent="0.25">
      <c r="A19" t="s">
        <v>77</v>
      </c>
      <c r="B19" t="s">
        <v>78</v>
      </c>
      <c r="C19" t="s">
        <v>79</v>
      </c>
      <c r="D19" s="2">
        <v>46266</v>
      </c>
      <c r="E19" s="2">
        <v>46296</v>
      </c>
      <c r="F19">
        <v>9400</v>
      </c>
      <c r="G19" t="s">
        <v>80</v>
      </c>
    </row>
    <row r="20" spans="1:7" x14ac:dyDescent="0.25">
      <c r="A20" t="s">
        <v>81</v>
      </c>
      <c r="B20" t="s">
        <v>82</v>
      </c>
      <c r="C20" t="s">
        <v>83</v>
      </c>
      <c r="D20" s="2">
        <v>46266</v>
      </c>
      <c r="E20" s="2">
        <v>46296</v>
      </c>
      <c r="F20">
        <v>9500</v>
      </c>
      <c r="G20" t="s">
        <v>84</v>
      </c>
    </row>
    <row r="21" spans="1:7" x14ac:dyDescent="0.25">
      <c r="A21" t="s">
        <v>85</v>
      </c>
      <c r="B21" t="s">
        <v>86</v>
      </c>
      <c r="C21" t="s">
        <v>87</v>
      </c>
      <c r="D21" s="2">
        <v>46266</v>
      </c>
      <c r="E21" s="2">
        <v>46296</v>
      </c>
      <c r="F21">
        <v>9600</v>
      </c>
      <c r="G21" t="s">
        <v>88</v>
      </c>
    </row>
    <row r="22" spans="1:7" x14ac:dyDescent="0.25">
      <c r="A22" t="s">
        <v>89</v>
      </c>
      <c r="B22" t="s">
        <v>90</v>
      </c>
      <c r="C22" t="s">
        <v>91</v>
      </c>
      <c r="D22" s="2">
        <v>46266</v>
      </c>
      <c r="E22" s="2">
        <v>46296</v>
      </c>
      <c r="F22">
        <v>9700</v>
      </c>
      <c r="G22" t="s">
        <v>92</v>
      </c>
    </row>
    <row r="23" spans="1:7" x14ac:dyDescent="0.25">
      <c r="A23" t="s">
        <v>93</v>
      </c>
      <c r="B23" t="s">
        <v>94</v>
      </c>
      <c r="C23" t="s">
        <v>95</v>
      </c>
      <c r="D23" s="2">
        <v>46266</v>
      </c>
      <c r="E23" s="2">
        <v>46296</v>
      </c>
      <c r="F23">
        <v>9800</v>
      </c>
      <c r="G23" t="s">
        <v>96</v>
      </c>
    </row>
    <row r="24" spans="1:7" x14ac:dyDescent="0.25">
      <c r="A24" t="s">
        <v>97</v>
      </c>
      <c r="B24" t="s">
        <v>98</v>
      </c>
      <c r="C24" t="s">
        <v>99</v>
      </c>
      <c r="D24" s="2">
        <v>46266</v>
      </c>
      <c r="E24" s="2">
        <v>46296</v>
      </c>
      <c r="F24">
        <v>9900</v>
      </c>
      <c r="G24" t="s">
        <v>100</v>
      </c>
    </row>
    <row r="25" spans="1:7" x14ac:dyDescent="0.25">
      <c r="A25" t="s">
        <v>101</v>
      </c>
      <c r="B25" t="s">
        <v>102</v>
      </c>
      <c r="C25" t="s">
        <v>103</v>
      </c>
      <c r="D25" s="2">
        <v>46266</v>
      </c>
      <c r="E25" s="2">
        <v>46296</v>
      </c>
      <c r="F25">
        <v>9950</v>
      </c>
      <c r="G25" t="s">
        <v>104</v>
      </c>
    </row>
    <row r="26" spans="1:7" x14ac:dyDescent="0.25">
      <c r="A26" t="s">
        <v>105</v>
      </c>
      <c r="B26" t="s">
        <v>106</v>
      </c>
      <c r="C26" t="s">
        <v>107</v>
      </c>
      <c r="D26" s="2">
        <v>46266</v>
      </c>
      <c r="E26" s="2">
        <v>46296</v>
      </c>
      <c r="F26">
        <v>10100</v>
      </c>
      <c r="G26" t="s">
        <v>108</v>
      </c>
    </row>
    <row r="27" spans="1:7" x14ac:dyDescent="0.25">
      <c r="A27" t="s">
        <v>109</v>
      </c>
      <c r="B27" t="s">
        <v>8</v>
      </c>
      <c r="C27" t="s">
        <v>70</v>
      </c>
      <c r="D27" s="2">
        <v>46266</v>
      </c>
      <c r="E27" s="2">
        <v>46296</v>
      </c>
      <c r="F27">
        <v>10200</v>
      </c>
      <c r="G27" t="s">
        <v>110</v>
      </c>
    </row>
    <row r="28" spans="1:7" x14ac:dyDescent="0.25">
      <c r="A28" t="s">
        <v>111</v>
      </c>
      <c r="B28" t="s">
        <v>63</v>
      </c>
      <c r="C28" t="s">
        <v>64</v>
      </c>
      <c r="D28" s="2">
        <v>46266</v>
      </c>
      <c r="E28" s="2">
        <v>46296</v>
      </c>
      <c r="F28">
        <v>88888.88</v>
      </c>
      <c r="G28" t="s">
        <v>112</v>
      </c>
    </row>
    <row r="29" spans="1:7" x14ac:dyDescent="0.25">
      <c r="A29" t="s">
        <v>7</v>
      </c>
      <c r="B29" t="s">
        <v>17</v>
      </c>
      <c r="C29" t="s">
        <v>18</v>
      </c>
      <c r="D29" s="2">
        <v>46266</v>
      </c>
      <c r="E29" s="2">
        <v>46296</v>
      </c>
      <c r="F29">
        <v>10300</v>
      </c>
      <c r="G29" t="s">
        <v>113</v>
      </c>
    </row>
    <row r="30" spans="1:7" x14ac:dyDescent="0.25">
      <c r="A30" t="s">
        <v>114</v>
      </c>
      <c r="B30" t="s">
        <v>8</v>
      </c>
      <c r="C30" t="s">
        <v>9</v>
      </c>
      <c r="D30" s="2" t="s">
        <v>115</v>
      </c>
      <c r="E30" s="2" t="s">
        <v>116</v>
      </c>
      <c r="F30">
        <v>10400</v>
      </c>
      <c r="G30" t="s">
        <v>117</v>
      </c>
    </row>
    <row r="31" spans="1:7" x14ac:dyDescent="0.25">
      <c r="A31" t="s">
        <v>118</v>
      </c>
      <c r="B31" t="s">
        <v>8</v>
      </c>
      <c r="C31" t="s">
        <v>12</v>
      </c>
      <c r="D31" s="2" t="s">
        <v>119</v>
      </c>
      <c r="E31" s="2" t="s">
        <v>120</v>
      </c>
      <c r="F31">
        <v>10500</v>
      </c>
      <c r="G31" t="s">
        <v>121</v>
      </c>
    </row>
    <row r="32" spans="1:7" x14ac:dyDescent="0.25">
      <c r="A32" t="s">
        <v>122</v>
      </c>
      <c r="B32" t="s">
        <v>52</v>
      </c>
      <c r="C32" t="s">
        <v>53</v>
      </c>
      <c r="D32" s="2">
        <v>46266</v>
      </c>
      <c r="E32" s="2"/>
      <c r="F32">
        <v>10600</v>
      </c>
    </row>
    <row r="34" spans="1:7" x14ac:dyDescent="0.25">
      <c r="B34" t="s">
        <v>8</v>
      </c>
      <c r="C34" t="s">
        <v>9</v>
      </c>
      <c r="D34" s="2">
        <v>46266</v>
      </c>
      <c r="E34" s="2">
        <v>46296</v>
      </c>
      <c r="F34">
        <v>5001</v>
      </c>
      <c r="G34" t="s">
        <v>123</v>
      </c>
    </row>
    <row r="35" spans="1:7" x14ac:dyDescent="0.25">
      <c r="A35" t="s">
        <v>124</v>
      </c>
      <c r="B35" t="s">
        <v>8</v>
      </c>
      <c r="C35" t="s">
        <v>9</v>
      </c>
      <c r="D35" s="2">
        <v>46266</v>
      </c>
      <c r="E35" s="2">
        <v>46296</v>
      </c>
      <c r="F35">
        <v>5002</v>
      </c>
      <c r="G35" t="s">
        <v>123</v>
      </c>
    </row>
    <row r="36" spans="1:7" x14ac:dyDescent="0.25">
      <c r="A36" t="s">
        <v>125</v>
      </c>
      <c r="C36" t="s">
        <v>9</v>
      </c>
      <c r="D36" s="2">
        <v>46266</v>
      </c>
      <c r="E36" s="2">
        <v>46296</v>
      </c>
      <c r="F36">
        <v>5003</v>
      </c>
      <c r="G36" t="s">
        <v>123</v>
      </c>
    </row>
    <row r="37" spans="1:7" x14ac:dyDescent="0.25">
      <c r="A37" t="s">
        <v>126</v>
      </c>
      <c r="B37" t="s">
        <v>8</v>
      </c>
      <c r="D37" s="2">
        <v>46266</v>
      </c>
      <c r="E37" s="2">
        <v>46296</v>
      </c>
      <c r="F37">
        <v>5004</v>
      </c>
      <c r="G37" t="s">
        <v>123</v>
      </c>
    </row>
    <row r="38" spans="1:7" x14ac:dyDescent="0.25">
      <c r="A38" t="s">
        <v>127</v>
      </c>
      <c r="B38" t="s">
        <v>8</v>
      </c>
      <c r="C38" t="s">
        <v>9</v>
      </c>
      <c r="D38" s="2"/>
      <c r="E38" s="2">
        <v>46296</v>
      </c>
      <c r="F38">
        <v>5005</v>
      </c>
      <c r="G38" t="s">
        <v>123</v>
      </c>
    </row>
    <row r="39" spans="1:7" x14ac:dyDescent="0.25">
      <c r="A39" t="s">
        <v>128</v>
      </c>
      <c r="B39" t="s">
        <v>8</v>
      </c>
      <c r="C39" t="s">
        <v>9</v>
      </c>
      <c r="D39" s="2">
        <v>46266</v>
      </c>
      <c r="E39" s="2">
        <v>46296</v>
      </c>
      <c r="G39" t="s">
        <v>123</v>
      </c>
    </row>
    <row r="40" spans="1:7" x14ac:dyDescent="0.25">
      <c r="A40" t="s">
        <v>129</v>
      </c>
      <c r="B40" t="s">
        <v>8</v>
      </c>
      <c r="C40" t="s">
        <v>9</v>
      </c>
      <c r="D40" s="2">
        <v>46266</v>
      </c>
      <c r="E40" s="2">
        <v>46296</v>
      </c>
      <c r="F40">
        <v>5007</v>
      </c>
      <c r="G40" t="s">
        <v>123</v>
      </c>
    </row>
    <row r="41" spans="1:7" x14ac:dyDescent="0.25">
      <c r="A41" t="s">
        <v>130</v>
      </c>
      <c r="B41" t="s">
        <v>131</v>
      </c>
      <c r="C41" t="s">
        <v>132</v>
      </c>
      <c r="D41" s="2">
        <v>46266</v>
      </c>
      <c r="E41" s="2">
        <v>46296</v>
      </c>
      <c r="F41">
        <v>5008</v>
      </c>
      <c r="G41" t="s">
        <v>123</v>
      </c>
    </row>
    <row r="42" spans="1:7" x14ac:dyDescent="0.25">
      <c r="A42" t="s">
        <v>133</v>
      </c>
      <c r="B42" t="s">
        <v>134</v>
      </c>
      <c r="C42" t="s">
        <v>135</v>
      </c>
      <c r="D42" s="2">
        <v>46266</v>
      </c>
      <c r="E42" s="2">
        <v>46296</v>
      </c>
      <c r="F42">
        <v>5009</v>
      </c>
      <c r="G42" t="s">
        <v>123</v>
      </c>
    </row>
    <row r="43" spans="1:7" x14ac:dyDescent="0.25">
      <c r="A43" t="s">
        <v>136</v>
      </c>
      <c r="B43" t="s">
        <v>137</v>
      </c>
      <c r="C43" t="s">
        <v>99</v>
      </c>
      <c r="D43" s="2">
        <v>46266</v>
      </c>
      <c r="E43" s="2">
        <v>46296</v>
      </c>
      <c r="F43">
        <v>5010</v>
      </c>
      <c r="G43" t="s">
        <v>123</v>
      </c>
    </row>
    <row r="44" spans="1:7" x14ac:dyDescent="0.25">
      <c r="A44" t="s">
        <v>138</v>
      </c>
      <c r="B44" t="s">
        <v>8</v>
      </c>
      <c r="C44" t="s">
        <v>139</v>
      </c>
      <c r="D44" s="2">
        <v>46266</v>
      </c>
      <c r="E44" s="2">
        <v>46296</v>
      </c>
      <c r="F44">
        <v>5011</v>
      </c>
      <c r="G44" t="s">
        <v>123</v>
      </c>
    </row>
    <row r="45" spans="1:7" x14ac:dyDescent="0.25">
      <c r="A45" t="s">
        <v>140</v>
      </c>
      <c r="B45" t="s">
        <v>8</v>
      </c>
      <c r="C45" t="s">
        <v>44</v>
      </c>
      <c r="D45" s="2">
        <v>46266</v>
      </c>
      <c r="E45" s="2">
        <v>46296</v>
      </c>
      <c r="F45">
        <v>5012</v>
      </c>
      <c r="G45" t="s">
        <v>123</v>
      </c>
    </row>
    <row r="46" spans="1:7" x14ac:dyDescent="0.25">
      <c r="A46" t="s">
        <v>141</v>
      </c>
      <c r="B46" t="s">
        <v>59</v>
      </c>
      <c r="C46" t="s">
        <v>142</v>
      </c>
      <c r="D46" s="2">
        <v>46266</v>
      </c>
      <c r="E46" s="2">
        <v>46296</v>
      </c>
      <c r="F46">
        <v>5013</v>
      </c>
      <c r="G46" t="s">
        <v>123</v>
      </c>
    </row>
    <row r="47" spans="1:7" x14ac:dyDescent="0.25">
      <c r="A47" t="s">
        <v>143</v>
      </c>
      <c r="B47" t="s">
        <v>144</v>
      </c>
      <c r="C47" t="s">
        <v>145</v>
      </c>
      <c r="D47" s="2">
        <v>46266</v>
      </c>
      <c r="E47" s="2">
        <v>46296</v>
      </c>
      <c r="F47">
        <v>5014</v>
      </c>
      <c r="G47" t="s">
        <v>123</v>
      </c>
    </row>
    <row r="48" spans="1:7" x14ac:dyDescent="0.25">
      <c r="A48" t="s">
        <v>146</v>
      </c>
      <c r="B48" t="s">
        <v>147</v>
      </c>
      <c r="C48" t="s">
        <v>148</v>
      </c>
      <c r="D48" s="2">
        <v>46266</v>
      </c>
      <c r="E48" s="2">
        <v>46296</v>
      </c>
      <c r="F48">
        <v>5015</v>
      </c>
      <c r="G48" t="s">
        <v>123</v>
      </c>
    </row>
    <row r="49" spans="1:7" x14ac:dyDescent="0.25">
      <c r="A49" t="s">
        <v>149</v>
      </c>
      <c r="B49" t="s">
        <v>8</v>
      </c>
      <c r="C49" t="s">
        <v>9</v>
      </c>
      <c r="D49" s="2" t="s">
        <v>150</v>
      </c>
      <c r="E49" s="2">
        <v>46296</v>
      </c>
      <c r="F49">
        <v>5016</v>
      </c>
      <c r="G49" t="s">
        <v>123</v>
      </c>
    </row>
    <row r="50" spans="1:7" x14ac:dyDescent="0.25">
      <c r="A50" t="s">
        <v>151</v>
      </c>
      <c r="B50" t="s">
        <v>8</v>
      </c>
      <c r="C50" t="s">
        <v>9</v>
      </c>
      <c r="D50" s="2" t="s">
        <v>152</v>
      </c>
      <c r="E50" s="2">
        <v>46296</v>
      </c>
      <c r="F50">
        <v>5017</v>
      </c>
      <c r="G50" t="s">
        <v>123</v>
      </c>
    </row>
    <row r="51" spans="1:7" x14ac:dyDescent="0.25">
      <c r="A51" t="s">
        <v>153</v>
      </c>
      <c r="B51" t="s">
        <v>8</v>
      </c>
      <c r="C51" t="s">
        <v>9</v>
      </c>
      <c r="D51" s="2" t="s">
        <v>154</v>
      </c>
      <c r="E51" s="2">
        <v>46296</v>
      </c>
      <c r="F51">
        <v>5018</v>
      </c>
      <c r="G51" t="s">
        <v>123</v>
      </c>
    </row>
    <row r="52" spans="1:7" x14ac:dyDescent="0.25">
      <c r="A52" t="s">
        <v>155</v>
      </c>
      <c r="B52" t="s">
        <v>8</v>
      </c>
      <c r="C52" t="s">
        <v>9</v>
      </c>
      <c r="D52" s="2" t="s">
        <v>156</v>
      </c>
      <c r="E52" s="2">
        <v>46296</v>
      </c>
      <c r="F52">
        <v>5019</v>
      </c>
      <c r="G52" t="s">
        <v>123</v>
      </c>
    </row>
    <row r="53" spans="1:7" x14ac:dyDescent="0.25">
      <c r="A53" t="s">
        <v>157</v>
      </c>
      <c r="B53" t="s">
        <v>8</v>
      </c>
      <c r="C53" t="s">
        <v>9</v>
      </c>
      <c r="D53" s="2" t="s">
        <v>158</v>
      </c>
      <c r="E53" s="2">
        <v>46296</v>
      </c>
      <c r="F53">
        <v>5020</v>
      </c>
      <c r="G53" t="s">
        <v>123</v>
      </c>
    </row>
    <row r="54" spans="1:7" x14ac:dyDescent="0.25">
      <c r="A54" t="s">
        <v>159</v>
      </c>
      <c r="B54" t="s">
        <v>8</v>
      </c>
      <c r="C54" t="s">
        <v>9</v>
      </c>
      <c r="D54" s="2" t="s">
        <v>160</v>
      </c>
      <c r="E54" s="2">
        <v>46296</v>
      </c>
      <c r="F54">
        <v>5021</v>
      </c>
      <c r="G54" t="s">
        <v>123</v>
      </c>
    </row>
    <row r="55" spans="1:7" x14ac:dyDescent="0.25">
      <c r="A55" t="s">
        <v>161</v>
      </c>
      <c r="B55" t="s">
        <v>8</v>
      </c>
      <c r="C55" t="s">
        <v>9</v>
      </c>
      <c r="D55" s="2" t="s">
        <v>162</v>
      </c>
      <c r="E55" s="2">
        <v>46296</v>
      </c>
      <c r="F55">
        <v>5022</v>
      </c>
      <c r="G55" t="s">
        <v>123</v>
      </c>
    </row>
    <row r="56" spans="1:7" x14ac:dyDescent="0.25">
      <c r="A56" t="s">
        <v>163</v>
      </c>
      <c r="B56" t="s">
        <v>8</v>
      </c>
      <c r="C56" t="s">
        <v>9</v>
      </c>
      <c r="D56" s="2" t="s">
        <v>164</v>
      </c>
      <c r="E56" s="2">
        <v>46296</v>
      </c>
      <c r="F56">
        <v>5023</v>
      </c>
      <c r="G56" t="s">
        <v>123</v>
      </c>
    </row>
    <row r="57" spans="1:7" x14ac:dyDescent="0.25">
      <c r="A57" t="s">
        <v>165</v>
      </c>
      <c r="B57" t="s">
        <v>8</v>
      </c>
      <c r="C57" t="s">
        <v>9</v>
      </c>
      <c r="D57">
        <v>45000</v>
      </c>
      <c r="E57" s="2">
        <v>46296</v>
      </c>
      <c r="F57">
        <v>5024</v>
      </c>
      <c r="G57" t="s">
        <v>123</v>
      </c>
    </row>
    <row r="58" spans="1:7" x14ac:dyDescent="0.25">
      <c r="A58" t="s">
        <v>166</v>
      </c>
      <c r="B58" t="s">
        <v>8</v>
      </c>
      <c r="C58" t="s">
        <v>9</v>
      </c>
      <c r="D58" s="2">
        <v>46266</v>
      </c>
      <c r="E58" s="2" t="s">
        <v>167</v>
      </c>
      <c r="F58">
        <v>5025</v>
      </c>
      <c r="G58" t="s">
        <v>123</v>
      </c>
    </row>
    <row r="59" spans="1:7" x14ac:dyDescent="0.25">
      <c r="A59" t="s">
        <v>168</v>
      </c>
      <c r="B59" t="s">
        <v>8</v>
      </c>
      <c r="C59" t="s">
        <v>9</v>
      </c>
      <c r="D59" s="2">
        <v>46285</v>
      </c>
      <c r="E59" s="2">
        <v>46275</v>
      </c>
      <c r="F59">
        <v>5026</v>
      </c>
      <c r="G59" t="s">
        <v>123</v>
      </c>
    </row>
    <row r="60" spans="1:7" x14ac:dyDescent="0.25">
      <c r="A60" t="s">
        <v>169</v>
      </c>
      <c r="B60" t="s">
        <v>8</v>
      </c>
      <c r="C60" t="s">
        <v>9</v>
      </c>
      <c r="D60" s="2">
        <v>46266</v>
      </c>
      <c r="E60" s="2">
        <v>46296</v>
      </c>
      <c r="F60">
        <v>0</v>
      </c>
      <c r="G60" t="s">
        <v>123</v>
      </c>
    </row>
    <row r="61" spans="1:7" x14ac:dyDescent="0.25">
      <c r="A61" t="s">
        <v>170</v>
      </c>
      <c r="B61" t="s">
        <v>8</v>
      </c>
      <c r="C61" t="s">
        <v>9</v>
      </c>
      <c r="D61" s="2">
        <v>46266</v>
      </c>
      <c r="E61" s="2">
        <v>46296</v>
      </c>
      <c r="F61">
        <v>-1</v>
      </c>
      <c r="G61" t="s">
        <v>123</v>
      </c>
    </row>
    <row r="62" spans="1:7" x14ac:dyDescent="0.25">
      <c r="A62" t="s">
        <v>171</v>
      </c>
      <c r="B62" t="s">
        <v>8</v>
      </c>
      <c r="C62" t="s">
        <v>9</v>
      </c>
      <c r="D62" s="2">
        <v>46266</v>
      </c>
      <c r="E62" s="2">
        <v>46296</v>
      </c>
      <c r="F62" t="s">
        <v>172</v>
      </c>
      <c r="G62" t="s">
        <v>123</v>
      </c>
    </row>
    <row r="63" spans="1:7" x14ac:dyDescent="0.25">
      <c r="A63" t="s">
        <v>173</v>
      </c>
      <c r="B63" t="s">
        <v>8</v>
      </c>
      <c r="C63" t="s">
        <v>9</v>
      </c>
      <c r="D63" s="2">
        <v>46266</v>
      </c>
      <c r="E63" s="2">
        <v>46296</v>
      </c>
      <c r="F63" t="s">
        <v>174</v>
      </c>
      <c r="G63" t="s">
        <v>123</v>
      </c>
    </row>
    <row r="64" spans="1:7" x14ac:dyDescent="0.25">
      <c r="A64" t="s">
        <v>175</v>
      </c>
      <c r="B64" t="s">
        <v>8</v>
      </c>
      <c r="C64" t="s">
        <v>9</v>
      </c>
      <c r="D64" s="2">
        <v>46266</v>
      </c>
      <c r="E64" s="2">
        <v>46296</v>
      </c>
      <c r="F64">
        <v>10000000000000</v>
      </c>
      <c r="G64" t="s">
        <v>123</v>
      </c>
    </row>
    <row r="65" spans="1:7" x14ac:dyDescent="0.25">
      <c r="A65" t="s">
        <v>176</v>
      </c>
      <c r="B65" t="s">
        <v>8</v>
      </c>
      <c r="C65" t="s">
        <v>9</v>
      </c>
      <c r="D65" s="2">
        <v>46266</v>
      </c>
      <c r="E65" s="2">
        <v>46296</v>
      </c>
      <c r="F65" t="s">
        <v>177</v>
      </c>
      <c r="G65" t="s">
        <v>123</v>
      </c>
    </row>
    <row r="66" spans="1:7" x14ac:dyDescent="0.25">
      <c r="A66" t="s">
        <v>178</v>
      </c>
      <c r="B66" t="s">
        <v>8</v>
      </c>
      <c r="C66" t="s">
        <v>9</v>
      </c>
      <c r="D66" s="2">
        <v>46266</v>
      </c>
      <c r="E66" s="2">
        <v>46296</v>
      </c>
      <c r="F66" t="s">
        <v>179</v>
      </c>
      <c r="G66" t="s">
        <v>123</v>
      </c>
    </row>
    <row r="67" spans="1:7" x14ac:dyDescent="0.25">
      <c r="A67" t="s">
        <v>7</v>
      </c>
      <c r="B67" t="s">
        <v>8</v>
      </c>
      <c r="C67" t="s">
        <v>12</v>
      </c>
      <c r="D67" s="2">
        <v>46266</v>
      </c>
      <c r="E67" s="2">
        <v>46296</v>
      </c>
      <c r="F67">
        <v>5034</v>
      </c>
      <c r="G67" t="s">
        <v>123</v>
      </c>
    </row>
    <row r="68" spans="1:7" x14ac:dyDescent="0.25">
      <c r="A68" t="s">
        <v>180</v>
      </c>
      <c r="B68" t="s">
        <v>8</v>
      </c>
      <c r="C68" t="s">
        <v>9</v>
      </c>
      <c r="D68" s="2">
        <v>46266</v>
      </c>
      <c r="E68" s="2">
        <v>46296</v>
      </c>
      <c r="F68">
        <v>5035</v>
      </c>
      <c r="G68" t="s">
        <v>123</v>
      </c>
    </row>
    <row r="69" spans="1:7" x14ac:dyDescent="0.25">
      <c r="A69" t="s">
        <v>181</v>
      </c>
      <c r="B69" t="s">
        <v>8</v>
      </c>
      <c r="C69" t="s">
        <v>9</v>
      </c>
      <c r="D69" s="2">
        <v>46266</v>
      </c>
      <c r="E69" s="2">
        <v>46296</v>
      </c>
      <c r="F69">
        <v>5036</v>
      </c>
      <c r="G69" t="s">
        <v>123</v>
      </c>
    </row>
    <row r="70" spans="1:7" x14ac:dyDescent="0.25">
      <c r="A70" t="s">
        <v>182</v>
      </c>
      <c r="B70" t="s">
        <v>131</v>
      </c>
      <c r="C70" t="s">
        <v>132</v>
      </c>
      <c r="D70" s="2" t="s">
        <v>150</v>
      </c>
      <c r="E70" s="2">
        <v>46296</v>
      </c>
      <c r="F70">
        <v>0</v>
      </c>
      <c r="G70" t="s">
        <v>123</v>
      </c>
    </row>
    <row r="71" spans="1:7" x14ac:dyDescent="0.25">
      <c r="A71" t="s">
        <v>16</v>
      </c>
      <c r="B71" t="s">
        <v>75</v>
      </c>
      <c r="C71" t="s">
        <v>18</v>
      </c>
      <c r="D71" s="2">
        <v>46266</v>
      </c>
      <c r="E71" s="2">
        <v>46296</v>
      </c>
      <c r="F71">
        <v>5038</v>
      </c>
      <c r="G71" t="s">
        <v>123</v>
      </c>
    </row>
    <row r="72" spans="1:7" x14ac:dyDescent="0.25">
      <c r="A72" t="s">
        <v>183</v>
      </c>
      <c r="B72" t="s">
        <v>8</v>
      </c>
      <c r="D72" s="2">
        <v>46266</v>
      </c>
      <c r="E72" s="2">
        <v>46296</v>
      </c>
      <c r="F72" t="s">
        <v>172</v>
      </c>
      <c r="G72" t="s">
        <v>123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9"/>
  <sheetFormatPr defaultRowHeight="15" outlineLevelRow="0" outlineLevelCol="0" x14ac:dyDescent="55"/>
  <cols>
    <col min="1" max="1" width="10" customWidth="1"/>
    <col min="2" max="2" width="26" customWidth="1"/>
    <col min="3" max="4" width="34" customWidth="1"/>
    <col min="5" max="5" width="20" customWidth="1"/>
    <col min="6" max="6" width="70" customWidth="1"/>
    <col min="7" max="7" width="44" customWidth="1"/>
  </cols>
  <sheetData>
    <row r="1" spans="1:1" x14ac:dyDescent="0.25">
      <c r="A1" s="3" t="s">
        <v>184</v>
      </c>
    </row>
    <row r="3" spans="1:7" x14ac:dyDescent="0.25">
      <c r="A3" s="4" t="s">
        <v>185</v>
      </c>
      <c r="B3" s="4" t="s">
        <v>0</v>
      </c>
      <c r="C3" s="4" t="s">
        <v>186</v>
      </c>
      <c r="D3" s="4" t="s">
        <v>187</v>
      </c>
      <c r="E3" s="4" t="s">
        <v>188</v>
      </c>
      <c r="F3" s="4" t="s">
        <v>189</v>
      </c>
      <c r="G3" s="4" t="s">
        <v>190</v>
      </c>
    </row>
    <row r="4" spans="1:7" x14ac:dyDescent="0.25">
      <c r="A4" s="5">
        <v>2</v>
      </c>
      <c r="B4" s="5" t="s">
        <v>7</v>
      </c>
      <c r="C4" s="5" t="s">
        <v>8</v>
      </c>
      <c r="D4" s="5" t="s">
        <v>9</v>
      </c>
      <c r="E4" s="5">
        <v>25000</v>
      </c>
      <c r="F4" s="5" t="s">
        <v>191</v>
      </c>
      <c r="G4" s="5" t="s">
        <v>192</v>
      </c>
    </row>
    <row r="5" spans="1:7" x14ac:dyDescent="0.25">
      <c r="A5" s="5">
        <v>3</v>
      </c>
      <c r="B5" s="5" t="s">
        <v>11</v>
      </c>
      <c r="C5" s="5" t="s">
        <v>8</v>
      </c>
      <c r="D5" s="5" t="s">
        <v>12</v>
      </c>
      <c r="E5" s="5">
        <v>30000</v>
      </c>
      <c r="F5" s="5" t="s">
        <v>191</v>
      </c>
      <c r="G5" s="5" t="s">
        <v>193</v>
      </c>
    </row>
    <row r="6" spans="1:7" x14ac:dyDescent="0.25">
      <c r="A6" s="5">
        <v>4</v>
      </c>
      <c r="B6" s="5" t="s">
        <v>16</v>
      </c>
      <c r="C6" s="5" t="s">
        <v>17</v>
      </c>
      <c r="D6" s="5" t="s">
        <v>18</v>
      </c>
      <c r="E6" s="5">
        <v>15000</v>
      </c>
      <c r="F6" s="5" t="s">
        <v>191</v>
      </c>
      <c r="G6" s="5" t="s">
        <v>194</v>
      </c>
    </row>
    <row r="7" spans="1:7" x14ac:dyDescent="0.25">
      <c r="A7" s="5">
        <v>5</v>
      </c>
      <c r="B7" s="5" t="s">
        <v>22</v>
      </c>
      <c r="C7" s="5" t="s">
        <v>17</v>
      </c>
      <c r="D7" s="5" t="s">
        <v>23</v>
      </c>
      <c r="E7" s="5">
        <v>18000</v>
      </c>
      <c r="F7" s="5" t="s">
        <v>191</v>
      </c>
      <c r="G7" s="5" t="s">
        <v>195</v>
      </c>
    </row>
    <row r="8" spans="1:7" x14ac:dyDescent="0.25">
      <c r="A8" s="5">
        <v>6</v>
      </c>
      <c r="B8" s="5" t="s">
        <v>27</v>
      </c>
      <c r="C8" s="5" t="s">
        <v>28</v>
      </c>
      <c r="D8" s="5" t="s">
        <v>29</v>
      </c>
      <c r="E8" s="5">
        <v>42000</v>
      </c>
      <c r="F8" s="5" t="s">
        <v>191</v>
      </c>
      <c r="G8" s="5" t="s">
        <v>196</v>
      </c>
    </row>
    <row r="9" spans="1:7" x14ac:dyDescent="0.25">
      <c r="A9" s="5">
        <v>7</v>
      </c>
      <c r="B9" s="5" t="s">
        <v>33</v>
      </c>
      <c r="C9" s="5" t="s">
        <v>28</v>
      </c>
      <c r="D9" s="5" t="s">
        <v>34</v>
      </c>
      <c r="E9" s="5" t="s">
        <v>35</v>
      </c>
      <c r="F9" s="5" t="s">
        <v>191</v>
      </c>
      <c r="G9" s="5" t="s">
        <v>197</v>
      </c>
    </row>
    <row r="10" spans="1:7" x14ac:dyDescent="0.25">
      <c r="A10" s="5">
        <v>8</v>
      </c>
      <c r="B10" s="5" t="s">
        <v>37</v>
      </c>
      <c r="C10" s="5" t="s">
        <v>38</v>
      </c>
      <c r="D10" s="5" t="s">
        <v>39</v>
      </c>
      <c r="E10" s="5" t="s">
        <v>40</v>
      </c>
      <c r="F10" s="5" t="s">
        <v>191</v>
      </c>
      <c r="G10" s="5" t="s">
        <v>198</v>
      </c>
    </row>
    <row r="11" spans="1:7" x14ac:dyDescent="0.25">
      <c r="A11" s="5">
        <v>9</v>
      </c>
      <c r="B11" s="5" t="s">
        <v>42</v>
      </c>
      <c r="C11" s="5" t="s">
        <v>43</v>
      </c>
      <c r="D11" s="5" t="s">
        <v>44</v>
      </c>
      <c r="E11" s="5" t="s">
        <v>45</v>
      </c>
      <c r="F11" s="5" t="s">
        <v>191</v>
      </c>
      <c r="G11" s="5" t="s">
        <v>199</v>
      </c>
    </row>
    <row r="12" spans="1:7" x14ac:dyDescent="0.25">
      <c r="A12" s="5">
        <v>10</v>
      </c>
      <c r="B12" s="5" t="s">
        <v>47</v>
      </c>
      <c r="C12" s="5" t="s">
        <v>43</v>
      </c>
      <c r="D12" s="5" t="s">
        <v>48</v>
      </c>
      <c r="E12" s="5" t="s">
        <v>49</v>
      </c>
      <c r="F12" s="5" t="s">
        <v>191</v>
      </c>
      <c r="G12" s="5" t="s">
        <v>200</v>
      </c>
    </row>
    <row r="13" spans="1:7" x14ac:dyDescent="0.25">
      <c r="A13" s="5">
        <v>11</v>
      </c>
      <c r="B13" s="5" t="s">
        <v>51</v>
      </c>
      <c r="C13" s="5" t="s">
        <v>52</v>
      </c>
      <c r="D13" s="5" t="s">
        <v>53</v>
      </c>
      <c r="E13" s="5">
        <v>0.01</v>
      </c>
      <c r="F13" s="5" t="s">
        <v>191</v>
      </c>
      <c r="G13" s="5" t="s">
        <v>201</v>
      </c>
    </row>
    <row r="14" spans="1:7" x14ac:dyDescent="0.25">
      <c r="A14" s="5">
        <v>12</v>
      </c>
      <c r="B14" s="5" t="s">
        <v>55</v>
      </c>
      <c r="C14" s="5" t="s">
        <v>52</v>
      </c>
      <c r="D14" s="5" t="s">
        <v>56</v>
      </c>
      <c r="E14" s="5">
        <v>9999999999999.99</v>
      </c>
      <c r="F14" s="5" t="s">
        <v>191</v>
      </c>
      <c r="G14" s="5" t="s">
        <v>202</v>
      </c>
    </row>
    <row r="15" spans="1:7" x14ac:dyDescent="0.25">
      <c r="A15" s="5">
        <v>13</v>
      </c>
      <c r="B15" s="5" t="s">
        <v>58</v>
      </c>
      <c r="C15" s="5" t="s">
        <v>59</v>
      </c>
      <c r="D15" s="5" t="s">
        <v>60</v>
      </c>
      <c r="E15" s="5">
        <v>1</v>
      </c>
      <c r="F15" s="5" t="s">
        <v>191</v>
      </c>
      <c r="G15" s="5" t="s">
        <v>203</v>
      </c>
    </row>
    <row r="16" spans="1:7" x14ac:dyDescent="0.25">
      <c r="A16" s="5">
        <v>14</v>
      </c>
      <c r="B16" s="5" t="s">
        <v>62</v>
      </c>
      <c r="C16" s="5" t="s">
        <v>63</v>
      </c>
      <c r="D16" s="5" t="s">
        <v>64</v>
      </c>
      <c r="E16" s="5" t="s">
        <v>65</v>
      </c>
      <c r="F16" s="5" t="s">
        <v>191</v>
      </c>
      <c r="G16" s="5" t="s">
        <v>204</v>
      </c>
    </row>
    <row r="17" spans="1:7" x14ac:dyDescent="0.25">
      <c r="A17" s="5">
        <v>15</v>
      </c>
      <c r="B17" s="5" t="s">
        <v>67</v>
      </c>
      <c r="C17" s="5" t="s">
        <v>63</v>
      </c>
      <c r="D17" s="5" t="s">
        <v>64</v>
      </c>
      <c r="E17" s="5">
        <v>7700</v>
      </c>
      <c r="F17" s="5" t="s">
        <v>191</v>
      </c>
      <c r="G17" s="5" t="s">
        <v>205</v>
      </c>
    </row>
    <row r="18" spans="1:7" x14ac:dyDescent="0.25">
      <c r="A18" s="5">
        <v>16</v>
      </c>
      <c r="B18" s="5" t="s">
        <v>206</v>
      </c>
      <c r="C18" s="5" t="s">
        <v>8</v>
      </c>
      <c r="D18" s="5" t="s">
        <v>70</v>
      </c>
      <c r="E18" s="5">
        <v>9100</v>
      </c>
      <c r="F18" s="5" t="s">
        <v>191</v>
      </c>
      <c r="G18" s="5" t="s">
        <v>207</v>
      </c>
    </row>
    <row r="19" spans="1:7" x14ac:dyDescent="0.25">
      <c r="A19" s="5">
        <v>17</v>
      </c>
      <c r="B19" s="5" t="s">
        <v>72</v>
      </c>
      <c r="C19" s="5" t="s">
        <v>8</v>
      </c>
      <c r="D19" s="5" t="s">
        <v>70</v>
      </c>
      <c r="E19" s="5">
        <v>9200</v>
      </c>
      <c r="F19" s="5" t="s">
        <v>191</v>
      </c>
      <c r="G19" s="5" t="s">
        <v>208</v>
      </c>
    </row>
    <row r="20" spans="1:7" x14ac:dyDescent="0.25">
      <c r="A20" s="5">
        <v>18</v>
      </c>
      <c r="B20" s="5" t="s">
        <v>74</v>
      </c>
      <c r="C20" s="5" t="s">
        <v>75</v>
      </c>
      <c r="D20" s="5" t="s">
        <v>18</v>
      </c>
      <c r="E20" s="5">
        <v>9300</v>
      </c>
      <c r="F20" s="5" t="s">
        <v>191</v>
      </c>
      <c r="G20" s="5" t="s">
        <v>209</v>
      </c>
    </row>
    <row r="21" spans="1:7" x14ac:dyDescent="0.25">
      <c r="A21" s="5">
        <v>19</v>
      </c>
      <c r="B21" s="5" t="s">
        <v>77</v>
      </c>
      <c r="C21" s="5" t="s">
        <v>78</v>
      </c>
      <c r="D21" s="5" t="s">
        <v>79</v>
      </c>
      <c r="E21" s="5">
        <v>9400</v>
      </c>
      <c r="F21" s="5" t="s">
        <v>191</v>
      </c>
      <c r="G21" s="5" t="s">
        <v>210</v>
      </c>
    </row>
    <row r="22" spans="1:7" x14ac:dyDescent="0.25">
      <c r="A22" s="5">
        <v>20</v>
      </c>
      <c r="B22" s="5" t="s">
        <v>81</v>
      </c>
      <c r="C22" s="5" t="s">
        <v>82</v>
      </c>
      <c r="D22" s="5" t="s">
        <v>83</v>
      </c>
      <c r="E22" s="5">
        <v>9500</v>
      </c>
      <c r="F22" s="5" t="s">
        <v>191</v>
      </c>
      <c r="G22" s="5" t="s">
        <v>211</v>
      </c>
    </row>
    <row r="23" spans="1:7" x14ac:dyDescent="0.25">
      <c r="A23" s="5">
        <v>21</v>
      </c>
      <c r="B23" s="5" t="s">
        <v>85</v>
      </c>
      <c r="C23" s="5" t="s">
        <v>86</v>
      </c>
      <c r="D23" s="5" t="s">
        <v>87</v>
      </c>
      <c r="E23" s="5">
        <v>9600</v>
      </c>
      <c r="F23" s="5" t="s">
        <v>191</v>
      </c>
      <c r="G23" s="5" t="s">
        <v>212</v>
      </c>
    </row>
    <row r="24" spans="1:7" x14ac:dyDescent="0.25">
      <c r="A24" s="5">
        <v>22</v>
      </c>
      <c r="B24" s="5" t="s">
        <v>89</v>
      </c>
      <c r="C24" s="5" t="s">
        <v>213</v>
      </c>
      <c r="D24" s="5" t="s">
        <v>91</v>
      </c>
      <c r="E24" s="5">
        <v>9700</v>
      </c>
      <c r="F24" s="5" t="s">
        <v>191</v>
      </c>
      <c r="G24" s="5" t="s">
        <v>214</v>
      </c>
    </row>
    <row r="25" spans="1:7" x14ac:dyDescent="0.25">
      <c r="A25" s="5">
        <v>23</v>
      </c>
      <c r="B25" s="5" t="s">
        <v>93</v>
      </c>
      <c r="C25" s="5" t="s">
        <v>94</v>
      </c>
      <c r="D25" s="5" t="s">
        <v>95</v>
      </c>
      <c r="E25" s="5">
        <v>9800</v>
      </c>
      <c r="F25" s="5" t="s">
        <v>191</v>
      </c>
      <c r="G25" s="5" t="s">
        <v>215</v>
      </c>
    </row>
    <row r="26" spans="1:7" x14ac:dyDescent="0.25">
      <c r="A26" s="5">
        <v>24</v>
      </c>
      <c r="B26" s="5" t="s">
        <v>97</v>
      </c>
      <c r="C26" s="5" t="s">
        <v>98</v>
      </c>
      <c r="D26" s="5" t="s">
        <v>99</v>
      </c>
      <c r="E26" s="5">
        <v>9900</v>
      </c>
      <c r="F26" s="5" t="s">
        <v>191</v>
      </c>
      <c r="G26" s="5" t="s">
        <v>216</v>
      </c>
    </row>
    <row r="27" spans="1:7" x14ac:dyDescent="0.25">
      <c r="A27" s="5">
        <v>25</v>
      </c>
      <c r="B27" s="5" t="s">
        <v>101</v>
      </c>
      <c r="C27" s="5" t="s">
        <v>102</v>
      </c>
      <c r="D27" s="5" t="s">
        <v>103</v>
      </c>
      <c r="E27" s="5">
        <v>9950</v>
      </c>
      <c r="F27" s="5" t="s">
        <v>191</v>
      </c>
      <c r="G27" s="5" t="s">
        <v>217</v>
      </c>
    </row>
    <row r="28" spans="1:7" x14ac:dyDescent="0.25">
      <c r="A28" s="5">
        <v>26</v>
      </c>
      <c r="B28" s="5" t="s">
        <v>105</v>
      </c>
      <c r="C28" s="5" t="s">
        <v>106</v>
      </c>
      <c r="D28" s="5" t="s">
        <v>107</v>
      </c>
      <c r="E28" s="5">
        <v>10100</v>
      </c>
      <c r="F28" s="5" t="s">
        <v>191</v>
      </c>
      <c r="G28" s="5" t="s">
        <v>218</v>
      </c>
    </row>
    <row r="29" spans="1:7" x14ac:dyDescent="0.25">
      <c r="A29" s="5">
        <v>27</v>
      </c>
      <c r="B29" s="5" t="s">
        <v>109</v>
      </c>
      <c r="C29" s="5" t="s">
        <v>8</v>
      </c>
      <c r="D29" s="5" t="s">
        <v>70</v>
      </c>
      <c r="E29" s="5">
        <v>10200</v>
      </c>
      <c r="F29" s="5" t="s">
        <v>191</v>
      </c>
      <c r="G29" s="5" t="s">
        <v>219</v>
      </c>
    </row>
    <row r="30" spans="1:7" x14ac:dyDescent="0.25">
      <c r="A30" s="5">
        <v>28</v>
      </c>
      <c r="B30" s="5" t="s">
        <v>111</v>
      </c>
      <c r="C30" s="5" t="s">
        <v>63</v>
      </c>
      <c r="D30" s="5" t="s">
        <v>64</v>
      </c>
      <c r="E30" s="5">
        <v>88888.88</v>
      </c>
      <c r="F30" s="5" t="s">
        <v>191</v>
      </c>
      <c r="G30" s="5" t="s">
        <v>220</v>
      </c>
    </row>
    <row r="31" spans="1:7" x14ac:dyDescent="0.25">
      <c r="A31" s="5">
        <v>29</v>
      </c>
      <c r="B31" s="5" t="s">
        <v>7</v>
      </c>
      <c r="C31" s="5" t="s">
        <v>17</v>
      </c>
      <c r="D31" s="5" t="s">
        <v>18</v>
      </c>
      <c r="E31" s="5">
        <v>10300</v>
      </c>
      <c r="F31" s="5" t="s">
        <v>191</v>
      </c>
      <c r="G31" s="5" t="s">
        <v>221</v>
      </c>
    </row>
    <row r="32" spans="1:7" x14ac:dyDescent="0.25">
      <c r="A32" s="5">
        <v>30</v>
      </c>
      <c r="B32" s="5" t="s">
        <v>114</v>
      </c>
      <c r="C32" s="5" t="s">
        <v>8</v>
      </c>
      <c r="D32" s="5" t="s">
        <v>9</v>
      </c>
      <c r="E32" s="5">
        <v>10400</v>
      </c>
      <c r="F32" s="5" t="s">
        <v>191</v>
      </c>
      <c r="G32" s="5" t="s">
        <v>222</v>
      </c>
    </row>
    <row r="33" spans="1:7" x14ac:dyDescent="0.25">
      <c r="A33" s="5">
        <v>31</v>
      </c>
      <c r="B33" s="5" t="s">
        <v>118</v>
      </c>
      <c r="C33" s="5" t="s">
        <v>8</v>
      </c>
      <c r="D33" s="5" t="s">
        <v>12</v>
      </c>
      <c r="E33" s="5">
        <v>10500</v>
      </c>
      <c r="F33" s="5" t="s">
        <v>191</v>
      </c>
      <c r="G33" s="5" t="s">
        <v>223</v>
      </c>
    </row>
    <row r="34" spans="1:7" x14ac:dyDescent="0.25">
      <c r="A34" s="5">
        <v>32</v>
      </c>
      <c r="B34" s="5" t="s">
        <v>122</v>
      </c>
      <c r="C34" s="5" t="s">
        <v>52</v>
      </c>
      <c r="D34" s="5" t="s">
        <v>53</v>
      </c>
      <c r="E34" s="5">
        <v>10600</v>
      </c>
      <c r="F34" s="5" t="s">
        <v>191</v>
      </c>
      <c r="G34" s="5" t="s">
        <v>224</v>
      </c>
    </row>
    <row r="35" spans="1:7" x14ac:dyDescent="0.25">
      <c r="A35" s="5">
        <v>34</v>
      </c>
      <c r="B35" s="5" t="s">
        <v>225</v>
      </c>
      <c r="C35" s="5" t="s">
        <v>8</v>
      </c>
      <c r="D35" s="5" t="s">
        <v>9</v>
      </c>
      <c r="E35" s="5">
        <v>5001</v>
      </c>
      <c r="F35" s="6" t="s">
        <v>226</v>
      </c>
      <c r="G35" s="5" t="s">
        <v>227</v>
      </c>
    </row>
    <row r="36" spans="1:7" x14ac:dyDescent="0.25">
      <c r="A36" s="5">
        <v>35</v>
      </c>
      <c r="B36" s="5" t="s">
        <v>124</v>
      </c>
      <c r="C36" s="5" t="s">
        <v>8</v>
      </c>
      <c r="D36" s="5" t="s">
        <v>9</v>
      </c>
      <c r="E36" s="5">
        <v>5002</v>
      </c>
      <c r="F36" s="6" t="s">
        <v>226</v>
      </c>
      <c r="G36" s="5" t="s">
        <v>228</v>
      </c>
    </row>
    <row r="37" spans="1:7" x14ac:dyDescent="0.25">
      <c r="A37" s="5">
        <v>36</v>
      </c>
      <c r="B37" s="5" t="s">
        <v>125</v>
      </c>
      <c r="C37" s="5" t="s">
        <v>225</v>
      </c>
      <c r="D37" s="5" t="s">
        <v>9</v>
      </c>
      <c r="E37" s="5">
        <v>5003</v>
      </c>
      <c r="F37" s="6" t="s">
        <v>229</v>
      </c>
      <c r="G37" s="5" t="s">
        <v>230</v>
      </c>
    </row>
    <row r="38" spans="1:7" x14ac:dyDescent="0.25">
      <c r="A38" s="5">
        <v>37</v>
      </c>
      <c r="B38" s="5" t="s">
        <v>126</v>
      </c>
      <c r="C38" s="5" t="s">
        <v>8</v>
      </c>
      <c r="D38" s="5" t="s">
        <v>225</v>
      </c>
      <c r="E38" s="5">
        <v>5004</v>
      </c>
      <c r="F38" s="6" t="s">
        <v>231</v>
      </c>
      <c r="G38" s="5" t="s">
        <v>232</v>
      </c>
    </row>
    <row r="39" spans="1:7" x14ac:dyDescent="0.25">
      <c r="A39" s="5">
        <v>38</v>
      </c>
      <c r="B39" s="5" t="s">
        <v>127</v>
      </c>
      <c r="C39" s="5" t="s">
        <v>8</v>
      </c>
      <c r="D39" s="5" t="s">
        <v>9</v>
      </c>
      <c r="E39" s="5">
        <v>5005</v>
      </c>
      <c r="F39" s="6" t="s">
        <v>233</v>
      </c>
      <c r="G39" s="5" t="s">
        <v>234</v>
      </c>
    </row>
    <row r="40" spans="1:7" x14ac:dyDescent="0.25">
      <c r="A40" s="5">
        <v>39</v>
      </c>
      <c r="B40" s="5" t="s">
        <v>128</v>
      </c>
      <c r="C40" s="5" t="s">
        <v>8</v>
      </c>
      <c r="D40" s="5" t="s">
        <v>9</v>
      </c>
      <c r="E40" s="5" t="s">
        <v>225</v>
      </c>
      <c r="F40" s="6" t="s">
        <v>235</v>
      </c>
      <c r="G40" s="5" t="s">
        <v>236</v>
      </c>
    </row>
    <row r="41" spans="1:7" x14ac:dyDescent="0.25">
      <c r="A41" s="5">
        <v>40</v>
      </c>
      <c r="B41" s="5" t="s">
        <v>237</v>
      </c>
      <c r="C41" s="5" t="s">
        <v>8</v>
      </c>
      <c r="D41" s="5" t="s">
        <v>9</v>
      </c>
      <c r="E41" s="5">
        <v>5007</v>
      </c>
      <c r="F41" s="6" t="s">
        <v>238</v>
      </c>
      <c r="G41" s="5" t="s">
        <v>239</v>
      </c>
    </row>
    <row r="42" spans="1:7" x14ac:dyDescent="0.25">
      <c r="A42" s="5">
        <v>41</v>
      </c>
      <c r="B42" s="5" t="s">
        <v>130</v>
      </c>
      <c r="C42" s="5" t="s">
        <v>131</v>
      </c>
      <c r="D42" s="5" t="s">
        <v>132</v>
      </c>
      <c r="E42" s="5">
        <v>5008</v>
      </c>
      <c r="F42" s="6" t="s">
        <v>240</v>
      </c>
      <c r="G42" s="5" t="s">
        <v>241</v>
      </c>
    </row>
    <row r="43" spans="1:7" x14ac:dyDescent="0.25">
      <c r="A43" s="5">
        <v>42</v>
      </c>
      <c r="B43" s="5" t="s">
        <v>133</v>
      </c>
      <c r="C43" s="5" t="s">
        <v>134</v>
      </c>
      <c r="D43" s="5" t="s">
        <v>135</v>
      </c>
      <c r="E43" s="5">
        <v>5009</v>
      </c>
      <c r="F43" s="6" t="s">
        <v>242</v>
      </c>
      <c r="G43" s="5" t="s">
        <v>243</v>
      </c>
    </row>
    <row r="44" spans="1:7" x14ac:dyDescent="0.25">
      <c r="A44" s="5">
        <v>43</v>
      </c>
      <c r="B44" s="5" t="s">
        <v>136</v>
      </c>
      <c r="C44" s="5" t="s">
        <v>137</v>
      </c>
      <c r="D44" s="5" t="s">
        <v>99</v>
      </c>
      <c r="E44" s="5">
        <v>5010</v>
      </c>
      <c r="F44" s="6" t="s">
        <v>244</v>
      </c>
      <c r="G44" s="5" t="s">
        <v>245</v>
      </c>
    </row>
    <row r="45" spans="1:7" x14ac:dyDescent="0.25">
      <c r="A45" s="5">
        <v>44</v>
      </c>
      <c r="B45" s="5" t="s">
        <v>138</v>
      </c>
      <c r="C45" s="5" t="s">
        <v>8</v>
      </c>
      <c r="D45" s="5" t="s">
        <v>139</v>
      </c>
      <c r="E45" s="5">
        <v>5011</v>
      </c>
      <c r="F45" s="6" t="s">
        <v>246</v>
      </c>
      <c r="G45" s="5" t="s">
        <v>247</v>
      </c>
    </row>
    <row r="46" spans="1:7" x14ac:dyDescent="0.25">
      <c r="A46" s="5">
        <v>45</v>
      </c>
      <c r="B46" s="5" t="s">
        <v>140</v>
      </c>
      <c r="C46" s="5" t="s">
        <v>8</v>
      </c>
      <c r="D46" s="5" t="s">
        <v>44</v>
      </c>
      <c r="E46" s="5">
        <v>5012</v>
      </c>
      <c r="F46" s="6" t="s">
        <v>246</v>
      </c>
      <c r="G46" s="5" t="s">
        <v>248</v>
      </c>
    </row>
    <row r="47" spans="1:7" x14ac:dyDescent="0.25">
      <c r="A47" s="5">
        <v>46</v>
      </c>
      <c r="B47" s="5" t="s">
        <v>141</v>
      </c>
      <c r="C47" s="5" t="s">
        <v>59</v>
      </c>
      <c r="D47" s="5" t="s">
        <v>142</v>
      </c>
      <c r="E47" s="5">
        <v>5013</v>
      </c>
      <c r="F47" s="6" t="s">
        <v>249</v>
      </c>
      <c r="G47" s="5" t="s">
        <v>250</v>
      </c>
    </row>
    <row r="48" spans="1:7" x14ac:dyDescent="0.25">
      <c r="A48" s="5">
        <v>47</v>
      </c>
      <c r="B48" s="5" t="s">
        <v>143</v>
      </c>
      <c r="C48" s="5" t="s">
        <v>144</v>
      </c>
      <c r="D48" s="5" t="s">
        <v>145</v>
      </c>
      <c r="E48" s="5">
        <v>5014</v>
      </c>
      <c r="F48" s="6" t="s">
        <v>251</v>
      </c>
      <c r="G48" s="5" t="s">
        <v>252</v>
      </c>
    </row>
    <row r="49" spans="1:7" x14ac:dyDescent="0.25">
      <c r="A49" s="5">
        <v>48</v>
      </c>
      <c r="B49" s="5" t="s">
        <v>146</v>
      </c>
      <c r="C49" s="5" t="s">
        <v>147</v>
      </c>
      <c r="D49" s="5" t="s">
        <v>148</v>
      </c>
      <c r="E49" s="5">
        <v>5015</v>
      </c>
      <c r="F49" s="6" t="s">
        <v>251</v>
      </c>
      <c r="G49" s="5" t="s">
        <v>253</v>
      </c>
    </row>
    <row r="50" spans="1:7" x14ac:dyDescent="0.25">
      <c r="A50" s="5">
        <v>49</v>
      </c>
      <c r="B50" s="5" t="s">
        <v>149</v>
      </c>
      <c r="C50" s="5" t="s">
        <v>8</v>
      </c>
      <c r="D50" s="5" t="s">
        <v>9</v>
      </c>
      <c r="E50" s="5">
        <v>5016</v>
      </c>
      <c r="F50" s="6" t="s">
        <v>254</v>
      </c>
      <c r="G50" s="5" t="s">
        <v>255</v>
      </c>
    </row>
    <row r="51" spans="1:7" x14ac:dyDescent="0.25">
      <c r="A51" s="5">
        <v>50</v>
      </c>
      <c r="B51" s="5" t="s">
        <v>151</v>
      </c>
      <c r="C51" s="5" t="s">
        <v>8</v>
      </c>
      <c r="D51" s="5" t="s">
        <v>9</v>
      </c>
      <c r="E51" s="5">
        <v>5017</v>
      </c>
      <c r="F51" s="6" t="s">
        <v>254</v>
      </c>
      <c r="G51" s="5" t="s">
        <v>256</v>
      </c>
    </row>
    <row r="52" spans="1:7" x14ac:dyDescent="0.25">
      <c r="A52" s="5">
        <v>51</v>
      </c>
      <c r="B52" s="5" t="s">
        <v>153</v>
      </c>
      <c r="C52" s="5" t="s">
        <v>8</v>
      </c>
      <c r="D52" s="5" t="s">
        <v>9</v>
      </c>
      <c r="E52" s="5">
        <v>5018</v>
      </c>
      <c r="F52" s="6" t="s">
        <v>254</v>
      </c>
      <c r="G52" s="5" t="s">
        <v>257</v>
      </c>
    </row>
    <row r="53" spans="1:7" x14ac:dyDescent="0.25">
      <c r="A53" s="5">
        <v>52</v>
      </c>
      <c r="B53" s="5" t="s">
        <v>155</v>
      </c>
      <c r="C53" s="5" t="s">
        <v>8</v>
      </c>
      <c r="D53" s="5" t="s">
        <v>9</v>
      </c>
      <c r="E53" s="5">
        <v>5019</v>
      </c>
      <c r="F53" s="6" t="s">
        <v>254</v>
      </c>
      <c r="G53" s="5" t="s">
        <v>258</v>
      </c>
    </row>
    <row r="54" spans="1:7" x14ac:dyDescent="0.25">
      <c r="A54" s="5">
        <v>53</v>
      </c>
      <c r="B54" s="5" t="s">
        <v>157</v>
      </c>
      <c r="C54" s="5" t="s">
        <v>8</v>
      </c>
      <c r="D54" s="5" t="s">
        <v>9</v>
      </c>
      <c r="E54" s="5">
        <v>5020</v>
      </c>
      <c r="F54" s="6" t="s">
        <v>254</v>
      </c>
      <c r="G54" s="5" t="s">
        <v>259</v>
      </c>
    </row>
    <row r="55" spans="1:7" x14ac:dyDescent="0.25">
      <c r="A55" s="5">
        <v>54</v>
      </c>
      <c r="B55" s="5" t="s">
        <v>159</v>
      </c>
      <c r="C55" s="5" t="s">
        <v>8</v>
      </c>
      <c r="D55" s="5" t="s">
        <v>9</v>
      </c>
      <c r="E55" s="5">
        <v>5021</v>
      </c>
      <c r="F55" s="6" t="s">
        <v>254</v>
      </c>
      <c r="G55" s="5" t="s">
        <v>260</v>
      </c>
    </row>
    <row r="56" spans="1:7" x14ac:dyDescent="0.25">
      <c r="A56" s="5">
        <v>55</v>
      </c>
      <c r="B56" s="5" t="s">
        <v>161</v>
      </c>
      <c r="C56" s="5" t="s">
        <v>8</v>
      </c>
      <c r="D56" s="5" t="s">
        <v>9</v>
      </c>
      <c r="E56" s="5">
        <v>5022</v>
      </c>
      <c r="F56" s="6" t="s">
        <v>254</v>
      </c>
      <c r="G56" s="5" t="s">
        <v>261</v>
      </c>
    </row>
    <row r="57" spans="1:7" x14ac:dyDescent="0.25">
      <c r="A57" s="5">
        <v>56</v>
      </c>
      <c r="B57" s="5" t="s">
        <v>163</v>
      </c>
      <c r="C57" s="5" t="s">
        <v>8</v>
      </c>
      <c r="D57" s="5" t="s">
        <v>9</v>
      </c>
      <c r="E57" s="5">
        <v>5023</v>
      </c>
      <c r="F57" s="6" t="s">
        <v>254</v>
      </c>
      <c r="G57" s="5" t="s">
        <v>262</v>
      </c>
    </row>
    <row r="58" spans="1:7" x14ac:dyDescent="0.25">
      <c r="A58" s="5">
        <v>57</v>
      </c>
      <c r="B58" s="5" t="s">
        <v>165</v>
      </c>
      <c r="C58" s="5" t="s">
        <v>8</v>
      </c>
      <c r="D58" s="5" t="s">
        <v>9</v>
      </c>
      <c r="E58" s="5">
        <v>5024</v>
      </c>
      <c r="F58" s="6" t="s">
        <v>254</v>
      </c>
      <c r="G58" s="5" t="s">
        <v>263</v>
      </c>
    </row>
    <row r="59" spans="1:7" x14ac:dyDescent="0.25">
      <c r="A59" s="5">
        <v>58</v>
      </c>
      <c r="B59" s="5" t="s">
        <v>166</v>
      </c>
      <c r="C59" s="5" t="s">
        <v>8</v>
      </c>
      <c r="D59" s="5" t="s">
        <v>9</v>
      </c>
      <c r="E59" s="5">
        <v>5025</v>
      </c>
      <c r="F59" s="6" t="s">
        <v>264</v>
      </c>
      <c r="G59" s="5" t="s">
        <v>265</v>
      </c>
    </row>
    <row r="60" spans="1:7" x14ac:dyDescent="0.25">
      <c r="A60" s="5">
        <v>59</v>
      </c>
      <c r="B60" s="5" t="s">
        <v>168</v>
      </c>
      <c r="C60" s="5" t="s">
        <v>8</v>
      </c>
      <c r="D60" s="5" t="s">
        <v>9</v>
      </c>
      <c r="E60" s="5">
        <v>5026</v>
      </c>
      <c r="F60" s="6" t="s">
        <v>266</v>
      </c>
      <c r="G60" s="5" t="s">
        <v>267</v>
      </c>
    </row>
    <row r="61" spans="1:7" x14ac:dyDescent="0.25">
      <c r="A61" s="5">
        <v>60</v>
      </c>
      <c r="B61" s="5" t="s">
        <v>169</v>
      </c>
      <c r="C61" s="5" t="s">
        <v>8</v>
      </c>
      <c r="D61" s="5" t="s">
        <v>9</v>
      </c>
      <c r="E61" s="5">
        <v>0</v>
      </c>
      <c r="F61" s="6" t="s">
        <v>268</v>
      </c>
      <c r="G61" s="5" t="s">
        <v>269</v>
      </c>
    </row>
    <row r="62" spans="1:7" x14ac:dyDescent="0.25">
      <c r="A62" s="5">
        <v>61</v>
      </c>
      <c r="B62" s="5" t="s">
        <v>170</v>
      </c>
      <c r="C62" s="5" t="s">
        <v>8</v>
      </c>
      <c r="D62" s="5" t="s">
        <v>9</v>
      </c>
      <c r="E62" s="5">
        <v>-1</v>
      </c>
      <c r="F62" s="6" t="s">
        <v>268</v>
      </c>
      <c r="G62" s="5" t="s">
        <v>270</v>
      </c>
    </row>
    <row r="63" spans="1:7" x14ac:dyDescent="0.25">
      <c r="A63" s="5">
        <v>62</v>
      </c>
      <c r="B63" s="5" t="s">
        <v>171</v>
      </c>
      <c r="C63" s="5" t="s">
        <v>8</v>
      </c>
      <c r="D63" s="5" t="s">
        <v>9</v>
      </c>
      <c r="E63" s="5" t="s">
        <v>172</v>
      </c>
      <c r="F63" s="6" t="s">
        <v>271</v>
      </c>
      <c r="G63" s="5" t="s">
        <v>272</v>
      </c>
    </row>
    <row r="64" spans="1:7" x14ac:dyDescent="0.25">
      <c r="A64" s="5">
        <v>63</v>
      </c>
      <c r="B64" s="5" t="s">
        <v>173</v>
      </c>
      <c r="C64" s="5" t="s">
        <v>8</v>
      </c>
      <c r="D64" s="5" t="s">
        <v>9</v>
      </c>
      <c r="E64" s="5" t="s">
        <v>174</v>
      </c>
      <c r="F64" s="6" t="s">
        <v>271</v>
      </c>
      <c r="G64" s="5" t="s">
        <v>273</v>
      </c>
    </row>
    <row r="65" spans="1:7" x14ac:dyDescent="0.25">
      <c r="A65" s="5">
        <v>64</v>
      </c>
      <c r="B65" s="5" t="s">
        <v>175</v>
      </c>
      <c r="C65" s="5" t="s">
        <v>8</v>
      </c>
      <c r="D65" s="5" t="s">
        <v>9</v>
      </c>
      <c r="E65" s="5">
        <v>10000000000000</v>
      </c>
      <c r="F65" s="6" t="s">
        <v>274</v>
      </c>
      <c r="G65" s="5" t="s">
        <v>275</v>
      </c>
    </row>
    <row r="66" spans="1:7" x14ac:dyDescent="0.25">
      <c r="A66" s="5">
        <v>65</v>
      </c>
      <c r="B66" s="5" t="s">
        <v>176</v>
      </c>
      <c r="C66" s="5" t="s">
        <v>8</v>
      </c>
      <c r="D66" s="5" t="s">
        <v>9</v>
      </c>
      <c r="E66" s="5" t="s">
        <v>177</v>
      </c>
      <c r="F66" s="6" t="s">
        <v>271</v>
      </c>
      <c r="G66" s="5" t="s">
        <v>276</v>
      </c>
    </row>
    <row r="67" spans="1:7" x14ac:dyDescent="0.25">
      <c r="A67" s="5">
        <v>66</v>
      </c>
      <c r="B67" s="5" t="s">
        <v>178</v>
      </c>
      <c r="C67" s="5" t="s">
        <v>8</v>
      </c>
      <c r="D67" s="5" t="s">
        <v>9</v>
      </c>
      <c r="E67" s="5" t="s">
        <v>179</v>
      </c>
      <c r="F67" s="6" t="s">
        <v>271</v>
      </c>
      <c r="G67" s="5" t="s">
        <v>277</v>
      </c>
    </row>
    <row r="68" spans="1:7" x14ac:dyDescent="0.25">
      <c r="A68" s="5">
        <v>67</v>
      </c>
      <c r="B68" s="5" t="s">
        <v>7</v>
      </c>
      <c r="C68" s="5" t="s">
        <v>8</v>
      </c>
      <c r="D68" s="5" t="s">
        <v>12</v>
      </c>
      <c r="E68" s="5">
        <v>5034</v>
      </c>
      <c r="F68" s="6" t="s">
        <v>278</v>
      </c>
      <c r="G68" s="5" t="s">
        <v>279</v>
      </c>
    </row>
    <row r="69" spans="1:7" x14ac:dyDescent="0.25">
      <c r="A69" s="5">
        <v>68</v>
      </c>
      <c r="B69" s="5" t="s">
        <v>180</v>
      </c>
      <c r="C69" s="5" t="s">
        <v>8</v>
      </c>
      <c r="D69" s="5" t="s">
        <v>9</v>
      </c>
      <c r="E69" s="5">
        <v>5035</v>
      </c>
      <c r="F69" s="6" t="s">
        <v>280</v>
      </c>
      <c r="G69" s="5" t="s">
        <v>281</v>
      </c>
    </row>
    <row r="70" spans="1:7" x14ac:dyDescent="0.25">
      <c r="A70" s="5">
        <v>69</v>
      </c>
      <c r="B70" s="5" t="s">
        <v>181</v>
      </c>
      <c r="C70" s="5" t="s">
        <v>8</v>
      </c>
      <c r="D70" s="5" t="s">
        <v>9</v>
      </c>
      <c r="E70" s="5">
        <v>5036</v>
      </c>
      <c r="F70" s="6" t="s">
        <v>282</v>
      </c>
      <c r="G70" s="5" t="s">
        <v>283</v>
      </c>
    </row>
    <row r="71" spans="1:7" x14ac:dyDescent="0.25">
      <c r="A71" s="5">
        <v>70</v>
      </c>
      <c r="B71" s="5" t="s">
        <v>182</v>
      </c>
      <c r="C71" s="5" t="s">
        <v>131</v>
      </c>
      <c r="D71" s="5" t="s">
        <v>132</v>
      </c>
      <c r="E71" s="5">
        <v>0</v>
      </c>
      <c r="F71" s="6" t="s">
        <v>284</v>
      </c>
      <c r="G71" s="5" t="s">
        <v>285</v>
      </c>
    </row>
    <row r="72" spans="1:7" x14ac:dyDescent="0.25">
      <c r="A72" s="5">
        <v>71</v>
      </c>
      <c r="B72" s="5" t="s">
        <v>16</v>
      </c>
      <c r="C72" s="5" t="s">
        <v>75</v>
      </c>
      <c r="D72" s="5" t="s">
        <v>18</v>
      </c>
      <c r="E72" s="5">
        <v>5038</v>
      </c>
      <c r="F72" s="6" t="s">
        <v>286</v>
      </c>
      <c r="G72" s="5" t="s">
        <v>287</v>
      </c>
    </row>
    <row r="73" spans="1:7" x14ac:dyDescent="0.25">
      <c r="A73" s="5">
        <v>72</v>
      </c>
      <c r="B73" s="5" t="s">
        <v>183</v>
      </c>
      <c r="C73" s="5" t="s">
        <v>8</v>
      </c>
      <c r="D73" s="5" t="s">
        <v>225</v>
      </c>
      <c r="E73" s="5" t="s">
        <v>172</v>
      </c>
      <c r="F73" s="6" t="s">
        <v>288</v>
      </c>
      <c r="G73" s="5" t="s">
        <v>289</v>
      </c>
    </row>
    <row r="75" spans="5:6" x14ac:dyDescent="0.25">
      <c r="E75" s="7" t="s">
        <v>290</v>
      </c>
      <c r="F75" s="8">
        <f>COUNTA(A4:A73)</f>
        <v>70</v>
      </c>
    </row>
    <row r="76" spans="5:6" x14ac:dyDescent="0.25">
      <c r="E76" s="7" t="s">
        <v>291</v>
      </c>
      <c r="F76" s="8">
        <f>COUNTIF(F4:F73,"VALID*")</f>
        <v>31</v>
      </c>
    </row>
    <row r="77" spans="5:6" x14ac:dyDescent="0.25">
      <c r="E77" s="7" t="s">
        <v>292</v>
      </c>
      <c r="F77" s="8">
        <f>COUNTIF(F4:F73,"ERROR*")</f>
        <v>39</v>
      </c>
    </row>
    <row r="79" spans="5:5" x14ac:dyDescent="0.25">
      <c r="E79" s="9" t="s">
        <v>293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FormatPr defaultRowHeight="15" outlineLevelRow="0" outlineLevelCol="0" x14ac:dyDescent="55"/>
  <cols>
    <col min="1" max="1" width="34" customWidth="1"/>
    <col min="2" max="2" width="50" customWidth="1"/>
    <col min="3" max="3" width="70" customWidth="1"/>
  </cols>
  <sheetData>
    <row r="1" spans="1:1" x14ac:dyDescent="0.25">
      <c r="A1" s="3" t="s">
        <v>294</v>
      </c>
    </row>
    <row r="3" spans="1:3" x14ac:dyDescent="0.25">
      <c r="A3" s="10" t="s">
        <v>295</v>
      </c>
      <c r="B3" s="10" t="s">
        <v>190</v>
      </c>
      <c r="C3" s="10" t="s">
        <v>296</v>
      </c>
    </row>
    <row r="4" spans="1:3" x14ac:dyDescent="0.25">
      <c r="A4" s="5" t="s">
        <v>297</v>
      </c>
      <c r="B4" s="5" t="s">
        <v>298</v>
      </c>
      <c r="C4" s="5" t="s">
        <v>299</v>
      </c>
    </row>
    <row r="5" spans="1:3" x14ac:dyDescent="0.25">
      <c r="A5" s="5" t="s">
        <v>300</v>
      </c>
      <c r="B5" s="5" t="s">
        <v>301</v>
      </c>
      <c r="C5" s="5" t="s">
        <v>302</v>
      </c>
    </row>
    <row r="6" spans="1:3" x14ac:dyDescent="0.25">
      <c r="A6" s="5" t="s">
        <v>303</v>
      </c>
      <c r="B6" s="5" t="s">
        <v>304</v>
      </c>
      <c r="C6" s="5" t="s">
        <v>305</v>
      </c>
    </row>
    <row r="7" spans="1:3" x14ac:dyDescent="0.25">
      <c r="A7" s="5" t="s">
        <v>306</v>
      </c>
      <c r="B7" s="5" t="s">
        <v>307</v>
      </c>
      <c r="C7" s="5" t="s">
        <v>308</v>
      </c>
    </row>
    <row r="8" spans="1:3" x14ac:dyDescent="0.25">
      <c r="A8" s="5" t="s">
        <v>309</v>
      </c>
      <c r="B8" s="5" t="s">
        <v>310</v>
      </c>
      <c r="C8" s="5" t="s">
        <v>311</v>
      </c>
    </row>
    <row r="9" spans="1:3" x14ac:dyDescent="0.25">
      <c r="A9" s="5" t="s">
        <v>312</v>
      </c>
      <c r="B9" s="5" t="s">
        <v>313</v>
      </c>
      <c r="C9" s="5" t="s">
        <v>314</v>
      </c>
    </row>
    <row r="10" spans="1:3" x14ac:dyDescent="0.25">
      <c r="A10" s="5" t="s">
        <v>315</v>
      </c>
      <c r="B10" s="5" t="s">
        <v>316</v>
      </c>
      <c r="C10" s="5" t="s">
        <v>317</v>
      </c>
    </row>
    <row r="11" spans="1:3" x14ac:dyDescent="0.25">
      <c r="A11" s="5" t="s">
        <v>318</v>
      </c>
      <c r="B11" s="5" t="s">
        <v>319</v>
      </c>
      <c r="C11" s="5" t="s">
        <v>320</v>
      </c>
    </row>
    <row r="12" spans="1:3" x14ac:dyDescent="0.25">
      <c r="A12" s="5" t="s">
        <v>321</v>
      </c>
      <c r="B12" s="5" t="s">
        <v>322</v>
      </c>
      <c r="C12" s="5" t="s">
        <v>323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Invoices</vt:lpstr>
      <vt:lpstr>Expected Results</vt:lpstr>
      <vt:lpstr>File Checks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2026-09-20T17:28:47Z</dcterms:created>
  <dcterms:modified xsi:type="dcterms:W3CDTF">2026-09-20T17:28:47Z</dcterms:modified>
</cp:coreProperties>
</file>